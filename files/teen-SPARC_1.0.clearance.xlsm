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drawings/drawing4.xml" ContentType="application/vnd.openxmlformats-officedocument.drawing+xml"/>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drawings/drawing5.xml" ContentType="application/vnd.openxmlformats-officedocument.drawing+xml"/>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drawings/drawing6.xml" ContentType="application/vnd.openxmlformats-officedocument.drawing+xml"/>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drawings/drawing7.xml" ContentType="application/vnd.openxmlformats-officedocument.drawing+xml"/>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activeX/activeX50.xml" ContentType="application/vnd.ms-office.activeX+xml"/>
  <Override PartName="/xl/activeX/activeX50.bin" ContentType="application/vnd.ms-office.activeX"/>
  <Override PartName="/xl/drawings/drawing8.xml" ContentType="application/vnd.openxmlformats-officedocument.drawing+xml"/>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activeX/activeX61.xml" ContentType="application/vnd.ms-office.activeX+xml"/>
  <Override PartName="/xl/activeX/activeX61.bin" ContentType="application/vnd.ms-office.activeX"/>
  <Override PartName="/xl/activeX/activeX62.xml" ContentType="application/vnd.ms-office.activeX+xml"/>
  <Override PartName="/xl/activeX/activeX62.bin" ContentType="application/vnd.ms-office.activeX"/>
  <Override PartName="/xl/activeX/activeX63.xml" ContentType="application/vnd.ms-office.activeX+xml"/>
  <Override PartName="/xl/activeX/activeX63.bin" ContentType="application/vnd.ms-office.activeX"/>
  <Override PartName="/xl/drawings/drawing9.xml" ContentType="application/vnd.openxmlformats-officedocument.drawing+xml"/>
  <Override PartName="/xl/activeX/activeX64.xml" ContentType="application/vnd.ms-office.activeX+xml"/>
  <Override PartName="/xl/activeX/activeX64.bin" ContentType="application/vnd.ms-office.activeX"/>
  <Override PartName="/xl/activeX/activeX65.xml" ContentType="application/vnd.ms-office.activeX+xml"/>
  <Override PartName="/xl/activeX/activeX65.bin" ContentType="application/vnd.ms-office.activeX"/>
  <Override PartName="/xl/activeX/activeX66.xml" ContentType="application/vnd.ms-office.activeX+xml"/>
  <Override PartName="/xl/activeX/activeX66.bin" ContentType="application/vnd.ms-office.activeX"/>
  <Override PartName="/xl/activeX/activeX67.xml" ContentType="application/vnd.ms-office.activeX+xml"/>
  <Override PartName="/xl/activeX/activeX67.bin" ContentType="application/vnd.ms-office.activeX"/>
  <Override PartName="/xl/activeX/activeX68.xml" ContentType="application/vnd.ms-office.activeX+xml"/>
  <Override PartName="/xl/activeX/activeX68.bin" ContentType="application/vnd.ms-office.activeX"/>
  <Override PartName="/xl/activeX/activeX69.xml" ContentType="application/vnd.ms-office.activeX+xml"/>
  <Override PartName="/xl/activeX/activeX69.bin" ContentType="application/vnd.ms-office.activeX"/>
  <Override PartName="/xl/drawings/drawing10.xml" ContentType="application/vnd.openxmlformats-officedocument.drawing+xml"/>
  <Override PartName="/xl/activeX/activeX70.xml" ContentType="application/vnd.ms-office.activeX+xml"/>
  <Override PartName="/xl/activeX/activeX70.bin" ContentType="application/vnd.ms-office.activeX"/>
  <Override PartName="/xl/activeX/activeX71.xml" ContentType="application/vnd.ms-office.activeX+xml"/>
  <Override PartName="/xl/activeX/activeX71.bin" ContentType="application/vnd.ms-office.activeX"/>
  <Override PartName="/xl/activeX/activeX72.xml" ContentType="application/vnd.ms-office.activeX+xml"/>
  <Override PartName="/xl/activeX/activeX72.bin" ContentType="application/vnd.ms-office.activeX"/>
  <Override PartName="/xl/activeX/activeX73.xml" ContentType="application/vnd.ms-office.activeX+xml"/>
  <Override PartName="/xl/activeX/activeX73.bin" ContentType="application/vnd.ms-office.activeX"/>
  <Override PartName="/xl/activeX/activeX74.xml" ContentType="application/vnd.ms-office.activeX+xml"/>
  <Override PartName="/xl/activeX/activeX74.bin" ContentType="application/vnd.ms-office.activeX"/>
  <Override PartName="/xl/activeX/activeX75.xml" ContentType="application/vnd.ms-office.activeX+xml"/>
  <Override PartName="/xl/activeX/activeX75.bin" ContentType="application/vnd.ms-office.activeX"/>
  <Override PartName="/xl/activeX/activeX76.xml" ContentType="application/vnd.ms-office.activeX+xml"/>
  <Override PartName="/xl/activeX/activeX76.bin" ContentType="application/vnd.ms-office.activeX"/>
  <Override PartName="/xl/activeX/activeX77.xml" ContentType="application/vnd.ms-office.activeX+xml"/>
  <Override PartName="/xl/activeX/activeX77.bin" ContentType="application/vnd.ms-office.activeX"/>
  <Override PartName="/xl/activeX/activeX78.xml" ContentType="application/vnd.ms-office.activeX+xml"/>
  <Override PartName="/xl/activeX/activeX78.bin" ContentType="application/vnd.ms-office.activeX"/>
  <Override PartName="/xl/activeX/activeX79.xml" ContentType="application/vnd.ms-office.activeX+xml"/>
  <Override PartName="/xl/activeX/activeX79.bin" ContentType="application/vnd.ms-office.activeX"/>
  <Override PartName="/xl/activeX/activeX80.xml" ContentType="application/vnd.ms-office.activeX+xml"/>
  <Override PartName="/xl/activeX/activeX80.bin" ContentType="application/vnd.ms-office.activeX"/>
  <Override PartName="/xl/activeX/activeX81.xml" ContentType="application/vnd.ms-office.activeX+xml"/>
  <Override PartName="/xl/activeX/activeX81.bin" ContentType="application/vnd.ms-office.activeX"/>
  <Override PartName="/xl/activeX/activeX82.xml" ContentType="application/vnd.ms-office.activeX+xml"/>
  <Override PartName="/xl/activeX/activeX82.bin" ContentType="application/vnd.ms-office.activeX"/>
  <Override PartName="/xl/activeX/activeX83.xml" ContentType="application/vnd.ms-office.activeX+xml"/>
  <Override PartName="/xl/activeX/activeX83.bin" ContentType="application/vnd.ms-office.activeX"/>
  <Override PartName="/xl/activeX/activeX84.xml" ContentType="application/vnd.ms-office.activeX+xml"/>
  <Override PartName="/xl/activeX/activeX84.bin" ContentType="application/vnd.ms-office.activeX"/>
  <Override PartName="/xl/activeX/activeX85.xml" ContentType="application/vnd.ms-office.activeX+xml"/>
  <Override PartName="/xl/activeX/activeX85.bin" ContentType="application/vnd.ms-office.activeX"/>
  <Override PartName="/xl/activeX/activeX86.xml" ContentType="application/vnd.ms-office.activeX+xml"/>
  <Override PartName="/xl/activeX/activeX86.bin" ContentType="application/vnd.ms-office.activeX"/>
  <Override PartName="/xl/activeX/activeX87.xml" ContentType="application/vnd.ms-office.activeX+xml"/>
  <Override PartName="/xl/activeX/activeX87.bin" ContentType="application/vnd.ms-office.activeX"/>
  <Override PartName="/xl/activeX/activeX88.xml" ContentType="application/vnd.ms-office.activeX+xml"/>
  <Override PartName="/xl/activeX/activeX88.bin" ContentType="application/vnd.ms-office.activeX"/>
  <Override PartName="/xl/activeX/activeX89.xml" ContentType="application/vnd.ms-office.activeX+xml"/>
  <Override PartName="/xl/activeX/activeX89.bin" ContentType="application/vnd.ms-office.activeX"/>
  <Override PartName="/xl/activeX/activeX90.xml" ContentType="application/vnd.ms-office.activeX+xml"/>
  <Override PartName="/xl/activeX/activeX90.bin" ContentType="application/vnd.ms-office.activeX"/>
  <Override PartName="/xl/activeX/activeX91.xml" ContentType="application/vnd.ms-office.activeX+xml"/>
  <Override PartName="/xl/activeX/activeX91.bin" ContentType="application/vnd.ms-office.activeX"/>
  <Override PartName="/xl/activeX/activeX92.xml" ContentType="application/vnd.ms-office.activeX+xml"/>
  <Override PartName="/xl/activeX/activeX92.bin" ContentType="application/vnd.ms-office.activeX"/>
  <Override PartName="/xl/activeX/activeX93.xml" ContentType="application/vnd.ms-office.activeX+xml"/>
  <Override PartName="/xl/activeX/activeX93.bin" ContentType="application/vnd.ms-office.activeX"/>
  <Override PartName="/xl/activeX/activeX94.xml" ContentType="application/vnd.ms-office.activeX+xml"/>
  <Override PartName="/xl/activeX/activeX94.bin" ContentType="application/vnd.ms-office.activeX"/>
  <Override PartName="/xl/activeX/activeX95.xml" ContentType="application/vnd.ms-office.activeX+xml"/>
  <Override PartName="/xl/activeX/activeX95.bin" ContentType="application/vnd.ms-office.activeX"/>
  <Override PartName="/xl/activeX/activeX96.xml" ContentType="application/vnd.ms-office.activeX+xml"/>
  <Override PartName="/xl/activeX/activeX96.bin" ContentType="application/vnd.ms-office.activeX"/>
  <Override PartName="/xl/activeX/activeX97.xml" ContentType="application/vnd.ms-office.activeX+xml"/>
  <Override PartName="/xl/activeX/activeX97.bin" ContentType="application/vnd.ms-office.activeX"/>
  <Override PartName="/xl/activeX/activeX98.xml" ContentType="application/vnd.ms-office.activeX+xml"/>
  <Override PartName="/xl/activeX/activeX98.bin" ContentType="application/vnd.ms-office.activeX"/>
  <Override PartName="/xl/activeX/activeX99.xml" ContentType="application/vnd.ms-office.activeX+xml"/>
  <Override PartName="/xl/activeX/activeX99.bin" ContentType="application/vnd.ms-office.activeX"/>
  <Override PartName="/xl/activeX/activeX100.xml" ContentType="application/vnd.ms-office.activeX+xml"/>
  <Override PartName="/xl/activeX/activeX100.bin" ContentType="application/vnd.ms-office.activeX"/>
  <Override PartName="/xl/activeX/activeX101.xml" ContentType="application/vnd.ms-office.activeX+xml"/>
  <Override PartName="/xl/activeX/activeX101.bin" ContentType="application/vnd.ms-office.activeX"/>
  <Override PartName="/xl/drawings/drawing11.xml" ContentType="application/vnd.openxmlformats-officedocument.drawing+xml"/>
  <Override PartName="/xl/activeX/activeX102.xml" ContentType="application/vnd.ms-office.activeX+xml"/>
  <Override PartName="/xl/activeX/activeX102.bin" ContentType="application/vnd.ms-office.activeX"/>
  <Override PartName="/xl/activeX/activeX103.xml" ContentType="application/vnd.ms-office.activeX+xml"/>
  <Override PartName="/xl/activeX/activeX103.bin" ContentType="application/vnd.ms-office.activeX"/>
  <Override PartName="/xl/activeX/activeX104.xml" ContentType="application/vnd.ms-office.activeX+xml"/>
  <Override PartName="/xl/activeX/activeX104.bin" ContentType="application/vnd.ms-office.activeX"/>
  <Override PartName="/xl/activeX/activeX105.xml" ContentType="application/vnd.ms-office.activeX+xml"/>
  <Override PartName="/xl/activeX/activeX105.bin" ContentType="application/vnd.ms-office.activeX"/>
  <Override PartName="/xl/activeX/activeX106.xml" ContentType="application/vnd.ms-office.activeX+xml"/>
  <Override PartName="/xl/activeX/activeX106.bin" ContentType="application/vnd.ms-office.activeX"/>
  <Override PartName="/xl/activeX/activeX107.xml" ContentType="application/vnd.ms-office.activeX+xml"/>
  <Override PartName="/xl/activeX/activeX107.bin" ContentType="application/vnd.ms-office.activeX"/>
  <Override PartName="/xl/activeX/activeX108.xml" ContentType="application/vnd.ms-office.activeX+xml"/>
  <Override PartName="/xl/activeX/activeX108.bin" ContentType="application/vnd.ms-office.activeX"/>
  <Override PartName="/xl/activeX/activeX109.xml" ContentType="application/vnd.ms-office.activeX+xml"/>
  <Override PartName="/xl/activeX/activeX109.bin" ContentType="application/vnd.ms-office.activeX"/>
  <Override PartName="/xl/activeX/activeX110.xml" ContentType="application/vnd.ms-office.activeX+xml"/>
  <Override PartName="/xl/activeX/activeX110.bin" ContentType="application/vnd.ms-office.activeX"/>
  <Override PartName="/xl/drawings/drawing12.xml" ContentType="application/vnd.openxmlformats-officedocument.drawing+xml"/>
  <Override PartName="/xl/activeX/activeX111.xml" ContentType="application/vnd.ms-office.activeX+xml"/>
  <Override PartName="/xl/activeX/activeX111.bin" ContentType="application/vnd.ms-office.activeX"/>
  <Override PartName="/xl/drawings/drawing13.xml" ContentType="application/vnd.openxmlformats-officedocument.drawing+xml"/>
  <Override PartName="/xl/activeX/activeX112.xml" ContentType="application/vnd.ms-office.activeX+xml"/>
  <Override PartName="/xl/activeX/activeX112.bin" ContentType="application/vnd.ms-office.activeX"/>
  <Override PartName="/xl/drawings/drawing14.xml" ContentType="application/vnd.openxmlformats-officedocument.drawing+xml"/>
  <Override PartName="/xl/activeX/activeX113.xml" ContentType="application/vnd.ms-office.activeX+xml"/>
  <Override PartName="/xl/activeX/activeX113.bin" ContentType="application/vnd.ms-office.activeX"/>
  <Override PartName="/xl/drawings/drawing15.xml" ContentType="application/vnd.openxmlformats-officedocument.drawing+xml"/>
  <Override PartName="/xl/activeX/activeX114.xml" ContentType="application/vnd.ms-office.activeX+xml"/>
  <Override PartName="/xl/activeX/activeX114.bin" ContentType="application/vnd.ms-office.activeX"/>
  <Override PartName="/xl/drawings/drawing16.xml" ContentType="application/vnd.openxmlformats-officedocument.drawing+xml"/>
  <Override PartName="/xl/activeX/activeX115.xml" ContentType="application/vnd.ms-office.activeX+xml"/>
  <Override PartName="/xl/activeX/activeX115.bin" ContentType="application/vnd.ms-office.activeX"/>
  <Override PartName="/xl/drawings/drawing17.xml" ContentType="application/vnd.openxmlformats-officedocument.drawing+xml"/>
  <Override PartName="/xl/activeX/activeX116.xml" ContentType="application/vnd.ms-office.activeX+xml"/>
  <Override PartName="/xl/activeX/activeX116.bin" ContentType="application/vnd.ms-office.activeX"/>
  <Override PartName="/xl/activeX/activeX117.xml" ContentType="application/vnd.ms-office.activeX+xml"/>
  <Override PartName="/xl/activeX/activeX117.bin" ContentType="application/vnd.ms-office.activeX"/>
  <Override PartName="/xl/activeX/activeX118.xml" ContentType="application/vnd.ms-office.activeX+xml"/>
  <Override PartName="/xl/activeX/activeX118.bin" ContentType="application/vnd.ms-office.activeX"/>
  <Override PartName="/xl/activeX/activeX119.xml" ContentType="application/vnd.ms-office.activeX+xml"/>
  <Override PartName="/xl/activeX/activeX119.bin" ContentType="application/vnd.ms-office.activeX"/>
  <Override PartName="/xl/activeX/activeX120.xml" ContentType="application/vnd.ms-office.activeX+xml"/>
  <Override PartName="/xl/activeX/activeX120.bin" ContentType="application/vnd.ms-office.activeX"/>
  <Override PartName="/xl/activeX/activeX121.xml" ContentType="application/vnd.ms-office.activeX+xml"/>
  <Override PartName="/xl/activeX/activeX121.bin" ContentType="application/vnd.ms-office.activeX"/>
  <Override PartName="/xl/activeX/activeX122.xml" ContentType="application/vnd.ms-office.activeX+xml"/>
  <Override PartName="/xl/activeX/activeX122.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53222"/>
  <mc:AlternateContent xmlns:mc="http://schemas.openxmlformats.org/markup-compatibility/2006">
    <mc:Choice Requires="x15">
      <x15ac:absPath xmlns:x15ac="http://schemas.microsoft.com/office/spreadsheetml/2010/11/ac" url="C:\Users\Goodreau\Google Drive\CAMP E4 - Adol tool\"/>
    </mc:Choice>
  </mc:AlternateContent>
  <bookViews>
    <workbookView xWindow="0" yWindow="0" windowWidth="28800" windowHeight="12348" tabRatio="929"/>
  </bookViews>
  <sheets>
    <sheet name="Welcome" sheetId="1" r:id="rId1"/>
    <sheet name="About" sheetId="30" r:id="rId2"/>
    <sheet name="Table of contents" sheetId="12" r:id="rId3"/>
    <sheet name="Population sizes" sheetId="2" r:id="rId4"/>
    <sheet name="Sexual behavior" sheetId="3" r:id="rId5"/>
    <sheet name="Diagnoses" sheetId="11" r:id="rId6"/>
    <sheet name="Interventions" sheetId="14" r:id="rId7"/>
    <sheet name="Results" sheetId="7" r:id="rId8"/>
    <sheet name="Export" sheetId="25" r:id="rId9"/>
    <sheet name="Advanced options" sheetId="27" r:id="rId10"/>
    <sheet name="alternative pop" sheetId="13" state="hidden" r:id="rId11"/>
    <sheet name="Baseline Params" sheetId="8" r:id="rId12"/>
    <sheet name="Model 1 Params" sheetId="16" r:id="rId13"/>
    <sheet name="Model 2 Params" sheetId="17" r:id="rId14"/>
    <sheet name="Model 3 Params" sheetId="18" r:id="rId15"/>
    <sheet name="Model 4 Params" sheetId="19" r:id="rId16"/>
    <sheet name="Export Template" sheetId="26" r:id="rId17"/>
    <sheet name="ppy_calc" sheetId="28" r:id="rId18"/>
    <sheet name="x-epidemiology" sheetId="9" state="hidden" r:id="rId19"/>
  </sheet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A10" i="26" l="1"/>
  <c r="BB10" i="26"/>
  <c r="BA11" i="26"/>
  <c r="BB11" i="26"/>
  <c r="BA12" i="26"/>
  <c r="BB12" i="26"/>
  <c r="BA13" i="26"/>
  <c r="BB13" i="26"/>
  <c r="BA14" i="26"/>
  <c r="BB14" i="26"/>
  <c r="AZ11" i="26"/>
  <c r="AZ12" i="26"/>
  <c r="AZ14" i="26"/>
  <c r="AZ13" i="26"/>
  <c r="AZ10" i="26"/>
  <c r="AU10" i="26"/>
  <c r="AV10" i="26"/>
  <c r="AU11" i="26"/>
  <c r="AV11" i="26"/>
  <c r="AU12" i="26"/>
  <c r="AV12" i="26"/>
  <c r="AT12" i="26"/>
  <c r="AT11" i="26"/>
  <c r="AT10" i="26"/>
  <c r="AP10" i="26"/>
  <c r="AQ10" i="26"/>
  <c r="AP11" i="26"/>
  <c r="AQ11" i="26"/>
  <c r="AP12" i="26"/>
  <c r="AQ12" i="26"/>
  <c r="AP13" i="26"/>
  <c r="AQ13" i="26"/>
  <c r="AP14" i="26"/>
  <c r="AQ14" i="26"/>
  <c r="AO11" i="26"/>
  <c r="AO12" i="26"/>
  <c r="AO14" i="26"/>
  <c r="AO13" i="26"/>
  <c r="AO10" i="26"/>
  <c r="AJ10" i="26"/>
  <c r="AK10" i="26"/>
  <c r="AJ11" i="26"/>
  <c r="AK11" i="26"/>
  <c r="AJ12" i="26"/>
  <c r="AK12" i="26"/>
  <c r="AI12" i="26"/>
  <c r="AI11" i="26"/>
  <c r="AI10" i="26"/>
  <c r="AD11" i="26"/>
  <c r="AE11" i="26"/>
  <c r="AF11" i="26"/>
  <c r="AD12" i="26"/>
  <c r="AE12" i="26"/>
  <c r="AF12" i="26"/>
  <c r="AE10" i="26"/>
  <c r="AF10" i="26"/>
  <c r="AE14" i="26"/>
  <c r="AF14" i="26"/>
  <c r="AE13" i="26"/>
  <c r="AF13" i="26"/>
  <c r="AD14" i="26"/>
  <c r="AD13" i="26"/>
  <c r="AD10" i="26"/>
  <c r="Y11" i="26"/>
  <c r="Z11" i="26"/>
  <c r="Y12" i="26"/>
  <c r="Z12" i="26"/>
  <c r="X12" i="26"/>
  <c r="X11" i="26"/>
  <c r="Y10" i="26"/>
  <c r="Z10" i="26"/>
  <c r="X10" i="26"/>
  <c r="T14" i="26"/>
  <c r="U14" i="26"/>
  <c r="S14" i="26"/>
  <c r="T13" i="26"/>
  <c r="U13" i="26"/>
  <c r="S13" i="26"/>
  <c r="S11" i="26"/>
  <c r="T11" i="26"/>
  <c r="U11" i="26"/>
  <c r="S12" i="26"/>
  <c r="T12" i="26"/>
  <c r="U12" i="26"/>
  <c r="T10" i="26"/>
  <c r="U10" i="26"/>
  <c r="S10" i="26"/>
  <c r="N12" i="26"/>
  <c r="O12" i="26"/>
  <c r="M12" i="26"/>
  <c r="N11" i="26"/>
  <c r="O11" i="26"/>
  <c r="M11" i="26"/>
  <c r="N10" i="26"/>
  <c r="O10" i="26"/>
  <c r="M10" i="26"/>
  <c r="I20" i="16" l="1"/>
  <c r="H19" i="16"/>
  <c r="H20" i="16"/>
  <c r="J24" i="26"/>
  <c r="K24" i="26"/>
  <c r="I24" i="26"/>
  <c r="J23" i="26"/>
  <c r="K23" i="26"/>
  <c r="I23" i="26"/>
  <c r="J21" i="26"/>
  <c r="J22" i="26"/>
  <c r="K21" i="26"/>
  <c r="K22" i="26"/>
  <c r="J20" i="26"/>
  <c r="K20" i="26"/>
  <c r="I21" i="26"/>
  <c r="I22" i="26"/>
  <c r="I20" i="26"/>
  <c r="I15" i="26"/>
  <c r="J15" i="26"/>
  <c r="H15" i="26"/>
  <c r="I14" i="26"/>
  <c r="J14" i="26"/>
  <c r="H14" i="26"/>
  <c r="I13" i="26"/>
  <c r="J13" i="26"/>
  <c r="H13" i="26"/>
  <c r="D15" i="26"/>
  <c r="D14" i="26"/>
  <c r="C15" i="26"/>
  <c r="C14" i="26"/>
  <c r="E13" i="26"/>
  <c r="D13" i="26"/>
  <c r="C13" i="26"/>
  <c r="H19" i="8"/>
  <c r="D24" i="26"/>
  <c r="E24" i="26"/>
  <c r="C24" i="26"/>
  <c r="D23" i="26"/>
  <c r="E23" i="26"/>
  <c r="C23" i="26"/>
  <c r="E21" i="26"/>
  <c r="E22" i="26"/>
  <c r="D21" i="26"/>
  <c r="D22" i="26"/>
  <c r="E20" i="26"/>
  <c r="C21" i="26"/>
  <c r="C22" i="26"/>
  <c r="D20" i="26"/>
  <c r="C20" i="26"/>
  <c r="F295" i="27" l="1"/>
  <c r="Q48" i="19" l="1"/>
  <c r="Q47" i="19"/>
  <c r="J48" i="19"/>
  <c r="I48" i="19"/>
  <c r="H48" i="19"/>
  <c r="J47" i="19"/>
  <c r="I47" i="19"/>
  <c r="H47" i="19"/>
  <c r="J48" i="18"/>
  <c r="I48" i="18"/>
  <c r="H48" i="18"/>
  <c r="J47" i="18"/>
  <c r="I47" i="18"/>
  <c r="H47" i="18"/>
  <c r="J48" i="17"/>
  <c r="I48" i="17"/>
  <c r="H48" i="17"/>
  <c r="J47" i="17"/>
  <c r="I47" i="17"/>
  <c r="H47" i="17"/>
  <c r="J48" i="16"/>
  <c r="I48" i="16"/>
  <c r="H48" i="16"/>
  <c r="J47" i="16"/>
  <c r="I47" i="16"/>
  <c r="H47" i="16"/>
  <c r="J35" i="19"/>
  <c r="I35" i="19"/>
  <c r="H35" i="19"/>
  <c r="J34" i="19"/>
  <c r="I34" i="19"/>
  <c r="H34" i="19"/>
  <c r="M33" i="19"/>
  <c r="L33" i="19"/>
  <c r="K33" i="19"/>
  <c r="J33" i="19"/>
  <c r="I33" i="19"/>
  <c r="H33" i="19"/>
  <c r="P32" i="19"/>
  <c r="O32" i="19"/>
  <c r="N32" i="19"/>
  <c r="J35" i="18"/>
  <c r="I35" i="18"/>
  <c r="H35" i="18"/>
  <c r="J34" i="18"/>
  <c r="I34" i="18"/>
  <c r="H34" i="18"/>
  <c r="M33" i="18"/>
  <c r="L33" i="18"/>
  <c r="K33" i="18"/>
  <c r="J33" i="18"/>
  <c r="I33" i="18"/>
  <c r="H33" i="18"/>
  <c r="P32" i="18"/>
  <c r="O32" i="18"/>
  <c r="N32" i="18"/>
  <c r="J35" i="17"/>
  <c r="I35" i="17"/>
  <c r="H35" i="17"/>
  <c r="J34" i="17"/>
  <c r="I34" i="17"/>
  <c r="H34" i="17"/>
  <c r="M33" i="17"/>
  <c r="L33" i="17"/>
  <c r="K33" i="17"/>
  <c r="J33" i="17"/>
  <c r="I33" i="17"/>
  <c r="H33" i="17"/>
  <c r="P32" i="17"/>
  <c r="O32" i="17"/>
  <c r="N32" i="17"/>
  <c r="J35" i="16"/>
  <c r="I35" i="16"/>
  <c r="H35" i="16"/>
  <c r="J34" i="16"/>
  <c r="I34" i="16"/>
  <c r="H34" i="16"/>
  <c r="M33" i="16"/>
  <c r="L33" i="16"/>
  <c r="K33" i="16"/>
  <c r="J33" i="16"/>
  <c r="I33" i="16"/>
  <c r="H33" i="16"/>
  <c r="P32" i="16"/>
  <c r="O32" i="16"/>
  <c r="N32" i="16"/>
  <c r="J21" i="19"/>
  <c r="I21" i="19"/>
  <c r="H21" i="19"/>
  <c r="J20" i="19"/>
  <c r="I20" i="19"/>
  <c r="H20" i="19"/>
  <c r="M19" i="19"/>
  <c r="L19" i="19"/>
  <c r="K19" i="19"/>
  <c r="J19" i="19"/>
  <c r="I19" i="19"/>
  <c r="H19" i="19"/>
  <c r="P18" i="19"/>
  <c r="O18" i="19"/>
  <c r="N18" i="19"/>
  <c r="J21" i="18"/>
  <c r="I21" i="18"/>
  <c r="H21" i="18"/>
  <c r="J20" i="18"/>
  <c r="I20" i="18"/>
  <c r="H20" i="18"/>
  <c r="M19" i="18"/>
  <c r="L19" i="18"/>
  <c r="K19" i="18"/>
  <c r="J19" i="18"/>
  <c r="I19" i="18"/>
  <c r="H19" i="18"/>
  <c r="P18" i="18"/>
  <c r="O18" i="18"/>
  <c r="N18" i="18"/>
  <c r="J21" i="17"/>
  <c r="I21" i="17"/>
  <c r="H21" i="17"/>
  <c r="J20" i="17"/>
  <c r="I20" i="17"/>
  <c r="H20" i="17"/>
  <c r="M19" i="17"/>
  <c r="L19" i="17"/>
  <c r="K19" i="17"/>
  <c r="J19" i="17"/>
  <c r="I19" i="17"/>
  <c r="H19" i="17"/>
  <c r="P18" i="17"/>
  <c r="O18" i="17"/>
  <c r="N18" i="17"/>
  <c r="J21" i="16"/>
  <c r="I21" i="16"/>
  <c r="H21" i="16"/>
  <c r="J20" i="16"/>
  <c r="M19" i="16"/>
  <c r="M22" i="16" s="1"/>
  <c r="L19" i="16"/>
  <c r="L22" i="16" s="1"/>
  <c r="K19" i="16"/>
  <c r="K22" i="16" s="1"/>
  <c r="J19" i="16"/>
  <c r="I19" i="16"/>
  <c r="P18" i="16"/>
  <c r="P22" i="16" s="1"/>
  <c r="O18" i="16"/>
  <c r="O22" i="16" s="1"/>
  <c r="N18" i="16"/>
  <c r="N22" i="16" s="1"/>
  <c r="J48" i="8"/>
  <c r="I48" i="8"/>
  <c r="H48" i="8"/>
  <c r="J47" i="8"/>
  <c r="I47" i="8"/>
  <c r="H47" i="8"/>
  <c r="P32" i="8"/>
  <c r="O32" i="8"/>
  <c r="N32" i="8"/>
  <c r="N18" i="8"/>
  <c r="J35" i="8"/>
  <c r="I35" i="8"/>
  <c r="H35" i="8"/>
  <c r="H21" i="8"/>
  <c r="J34" i="8"/>
  <c r="I34" i="8"/>
  <c r="M33" i="8"/>
  <c r="L33" i="8"/>
  <c r="K33" i="8"/>
  <c r="J33" i="8"/>
  <c r="I33" i="8"/>
  <c r="H33" i="8"/>
  <c r="H34" i="8"/>
  <c r="H20" i="8"/>
  <c r="P18" i="8"/>
  <c r="O18" i="8"/>
  <c r="I22" i="16" l="1"/>
  <c r="J22" i="16"/>
  <c r="H22" i="16"/>
  <c r="J21" i="8"/>
  <c r="I21" i="8" l="1"/>
  <c r="J20" i="8"/>
  <c r="I20" i="8"/>
  <c r="M19" i="8"/>
  <c r="L19" i="8"/>
  <c r="K19" i="8"/>
  <c r="J19" i="8"/>
  <c r="I19" i="8"/>
  <c r="AL60" i="26" l="1"/>
  <c r="AK60" i="26"/>
  <c r="AJ60" i="26"/>
  <c r="AL59" i="26"/>
  <c r="AK59" i="26"/>
  <c r="AJ59" i="26"/>
  <c r="AL58" i="26"/>
  <c r="AK58" i="26"/>
  <c r="AJ58" i="26"/>
  <c r="AL57" i="26"/>
  <c r="AK57" i="26"/>
  <c r="AJ57" i="26"/>
  <c r="AR52" i="26"/>
  <c r="AQ52" i="26"/>
  <c r="AP52" i="26"/>
  <c r="AO52" i="26"/>
  <c r="AN52" i="26"/>
  <c r="AM52" i="26"/>
  <c r="AL52" i="26"/>
  <c r="AK52" i="26"/>
  <c r="AJ52" i="26"/>
  <c r="AR51" i="26"/>
  <c r="AQ51" i="26"/>
  <c r="AP51" i="26"/>
  <c r="AO51" i="26"/>
  <c r="AN51" i="26"/>
  <c r="AM51" i="26"/>
  <c r="AL51" i="26"/>
  <c r="AK51" i="26"/>
  <c r="AJ51" i="26"/>
  <c r="AR50" i="26"/>
  <c r="AQ50" i="26"/>
  <c r="AP50" i="26"/>
  <c r="AO50" i="26"/>
  <c r="AN50" i="26"/>
  <c r="AM50" i="26"/>
  <c r="AL50" i="26"/>
  <c r="AK50" i="26"/>
  <c r="AJ50" i="26"/>
  <c r="AR49" i="26"/>
  <c r="AQ49" i="26"/>
  <c r="AP49" i="26"/>
  <c r="AO49" i="26"/>
  <c r="AN49" i="26"/>
  <c r="AM49" i="26"/>
  <c r="AL49" i="26"/>
  <c r="AK49" i="26"/>
  <c r="AJ49" i="26"/>
  <c r="AR44" i="26"/>
  <c r="AQ44" i="26"/>
  <c r="AP44" i="26"/>
  <c r="AO44" i="26"/>
  <c r="AN44" i="26"/>
  <c r="AM44" i="26"/>
  <c r="AL44" i="26"/>
  <c r="AK44" i="26"/>
  <c r="AJ44" i="26"/>
  <c r="AR43" i="26"/>
  <c r="AQ43" i="26"/>
  <c r="AP43" i="26"/>
  <c r="AO43" i="26"/>
  <c r="AN43" i="26"/>
  <c r="AM43" i="26"/>
  <c r="AL43" i="26"/>
  <c r="AK43" i="26"/>
  <c r="AJ43" i="26"/>
  <c r="AR42" i="26"/>
  <c r="AQ42" i="26"/>
  <c r="AP42" i="26"/>
  <c r="AO42" i="26"/>
  <c r="AN42" i="26"/>
  <c r="AM42" i="26"/>
  <c r="AL42" i="26"/>
  <c r="AK42" i="26"/>
  <c r="AJ42" i="26"/>
  <c r="AR41" i="26"/>
  <c r="AQ41" i="26"/>
  <c r="AP41" i="26"/>
  <c r="AO41" i="26"/>
  <c r="AN41" i="26"/>
  <c r="AM41" i="26"/>
  <c r="AL41" i="26"/>
  <c r="AK41" i="26"/>
  <c r="AJ41" i="26"/>
  <c r="AW60" i="26"/>
  <c r="AV60" i="26"/>
  <c r="AU60" i="26"/>
  <c r="AW59" i="26"/>
  <c r="AV59" i="26"/>
  <c r="AU59" i="26"/>
  <c r="AW58" i="26"/>
  <c r="AV58" i="26"/>
  <c r="AU58" i="26"/>
  <c r="AW57" i="26"/>
  <c r="AV57" i="26"/>
  <c r="AU57" i="26"/>
  <c r="BC52" i="26"/>
  <c r="BB52" i="26"/>
  <c r="BA52" i="26"/>
  <c r="AZ52" i="26"/>
  <c r="AY52" i="26"/>
  <c r="AX52" i="26"/>
  <c r="AW52" i="26"/>
  <c r="AV52" i="26"/>
  <c r="AU52" i="26"/>
  <c r="BC51" i="26"/>
  <c r="BB51" i="26"/>
  <c r="BA51" i="26"/>
  <c r="AZ51" i="26"/>
  <c r="AY51" i="26"/>
  <c r="AX51" i="26"/>
  <c r="AW51" i="26"/>
  <c r="AV51" i="26"/>
  <c r="AU51" i="26"/>
  <c r="BC50" i="26"/>
  <c r="BB50" i="26"/>
  <c r="BA50" i="26"/>
  <c r="AZ50" i="26"/>
  <c r="AY50" i="26"/>
  <c r="AX50" i="26"/>
  <c r="AW50" i="26"/>
  <c r="AV50" i="26"/>
  <c r="AU50" i="26"/>
  <c r="BC49" i="26"/>
  <c r="BB49" i="26"/>
  <c r="BA49" i="26"/>
  <c r="AZ49" i="26"/>
  <c r="AY49" i="26"/>
  <c r="AX49" i="26"/>
  <c r="AW49" i="26"/>
  <c r="AV49" i="26"/>
  <c r="AU49" i="26"/>
  <c r="BC44" i="26"/>
  <c r="BB44" i="26"/>
  <c r="BA44" i="26"/>
  <c r="AZ44" i="26"/>
  <c r="AY44" i="26"/>
  <c r="AX44" i="26"/>
  <c r="AW44" i="26"/>
  <c r="AV44" i="26"/>
  <c r="AU44" i="26"/>
  <c r="BC43" i="26"/>
  <c r="BB43" i="26"/>
  <c r="BA43" i="26"/>
  <c r="AZ43" i="26"/>
  <c r="AY43" i="26"/>
  <c r="AX43" i="26"/>
  <c r="AW43" i="26"/>
  <c r="AV43" i="26"/>
  <c r="AU43" i="26"/>
  <c r="BC42" i="26"/>
  <c r="BB42" i="26"/>
  <c r="BA42" i="26"/>
  <c r="AZ42" i="26"/>
  <c r="AY42" i="26"/>
  <c r="AX42" i="26"/>
  <c r="AW42" i="26"/>
  <c r="AV42" i="26"/>
  <c r="AU42" i="26"/>
  <c r="BC41" i="26"/>
  <c r="BB41" i="26"/>
  <c r="BA41" i="26"/>
  <c r="AZ41" i="26"/>
  <c r="AY41" i="26"/>
  <c r="AX41" i="26"/>
  <c r="AW41" i="26"/>
  <c r="AV41" i="26"/>
  <c r="AU41" i="26"/>
  <c r="N57" i="26"/>
  <c r="N58" i="26"/>
  <c r="P22" i="8"/>
  <c r="P24" i="8" s="1"/>
  <c r="P26" i="8" s="1"/>
  <c r="H52" i="2"/>
  <c r="H66" i="2"/>
  <c r="G66" i="2"/>
  <c r="F66" i="2"/>
  <c r="M254" i="27"/>
  <c r="M268" i="27" s="1"/>
  <c r="F53" i="2"/>
  <c r="G54" i="27"/>
  <c r="G53" i="2"/>
  <c r="H55" i="27"/>
  <c r="I55" i="27"/>
  <c r="G55" i="27"/>
  <c r="I54" i="27"/>
  <c r="H54" i="27"/>
  <c r="H53" i="27"/>
  <c r="I53" i="27"/>
  <c r="G53" i="27"/>
  <c r="H54" i="2"/>
  <c r="G54" i="2"/>
  <c r="F54" i="2"/>
  <c r="H53" i="2"/>
  <c r="G52" i="2"/>
  <c r="F52" i="2"/>
  <c r="T32" i="28"/>
  <c r="AD32" i="28" s="1"/>
  <c r="R32" i="28"/>
  <c r="AB32" i="28" s="1"/>
  <c r="S32" i="28"/>
  <c r="AC32" i="28" s="1"/>
  <c r="S31" i="28"/>
  <c r="AC31" i="28" s="1"/>
  <c r="R31" i="28"/>
  <c r="AB31" i="28" s="1"/>
  <c r="R30" i="28"/>
  <c r="AB30" i="28" s="1"/>
  <c r="P30" i="28"/>
  <c r="Z30" i="28" s="1"/>
  <c r="Q30" i="28"/>
  <c r="AA30" i="28" s="1"/>
  <c r="P31" i="28"/>
  <c r="Z31" i="28" s="1"/>
  <c r="Q31" i="28"/>
  <c r="AA31" i="28" s="1"/>
  <c r="P32" i="28"/>
  <c r="Z32" i="28" s="1"/>
  <c r="Q32" i="28"/>
  <c r="AA32" i="28" s="1"/>
  <c r="Q29" i="28"/>
  <c r="AA29" i="28" s="1"/>
  <c r="O29" i="28"/>
  <c r="Y29" i="28" s="1"/>
  <c r="P29" i="28"/>
  <c r="Z29" i="28" s="1"/>
  <c r="O30" i="28"/>
  <c r="Y30" i="28" s="1"/>
  <c r="O31" i="28"/>
  <c r="Y31" i="28" s="1"/>
  <c r="O32" i="28"/>
  <c r="Y32" i="28" s="1"/>
  <c r="P28" i="28"/>
  <c r="Z28" i="28" s="1"/>
  <c r="N28" i="28"/>
  <c r="X28" i="28" s="1"/>
  <c r="O28" i="28"/>
  <c r="Y28" i="28" s="1"/>
  <c r="N29" i="28"/>
  <c r="X29" i="28" s="1"/>
  <c r="N30" i="28"/>
  <c r="X30" i="28" s="1"/>
  <c r="N31" i="28"/>
  <c r="X31" i="28" s="1"/>
  <c r="N32" i="28"/>
  <c r="X32" i="28" s="1"/>
  <c r="O27" i="28"/>
  <c r="Y27" i="28" s="1"/>
  <c r="N27" i="28"/>
  <c r="X27" i="28" s="1"/>
  <c r="T23" i="28"/>
  <c r="AD23" i="28" s="1"/>
  <c r="R23" i="28"/>
  <c r="AB23" i="28" s="1"/>
  <c r="S23" i="28"/>
  <c r="AC23" i="28" s="1"/>
  <c r="S22" i="28"/>
  <c r="AC22" i="28" s="1"/>
  <c r="R22" i="28"/>
  <c r="AB22" i="28" s="1"/>
  <c r="R21" i="28"/>
  <c r="AB21" i="28" s="1"/>
  <c r="P21" i="28"/>
  <c r="Z21" i="28" s="1"/>
  <c r="Q21" i="28"/>
  <c r="AA21" i="28" s="1"/>
  <c r="P22" i="28"/>
  <c r="Z22" i="28" s="1"/>
  <c r="Q22" i="28"/>
  <c r="AA22" i="28" s="1"/>
  <c r="P23" i="28"/>
  <c r="Z23" i="28" s="1"/>
  <c r="Q23" i="28"/>
  <c r="AA23" i="28" s="1"/>
  <c r="Q20" i="28"/>
  <c r="AA20" i="28" s="1"/>
  <c r="O20" i="28"/>
  <c r="Y20" i="28" s="1"/>
  <c r="P20" i="28"/>
  <c r="Z20" i="28" s="1"/>
  <c r="O21" i="28"/>
  <c r="Y21" i="28" s="1"/>
  <c r="O22" i="28"/>
  <c r="Y22" i="28" s="1"/>
  <c r="O23" i="28"/>
  <c r="Y23" i="28" s="1"/>
  <c r="P19" i="28"/>
  <c r="Z19" i="28" s="1"/>
  <c r="N19" i="28"/>
  <c r="X19" i="28" s="1"/>
  <c r="O19" i="28"/>
  <c r="Y19" i="28" s="1"/>
  <c r="N20" i="28"/>
  <c r="X20" i="28" s="1"/>
  <c r="N21" i="28"/>
  <c r="X21" i="28" s="1"/>
  <c r="N22" i="28"/>
  <c r="X22" i="28" s="1"/>
  <c r="N23" i="28"/>
  <c r="X23" i="28" s="1"/>
  <c r="O18" i="28"/>
  <c r="Y18" i="28" s="1"/>
  <c r="N18" i="28"/>
  <c r="X18" i="28" s="1"/>
  <c r="T14" i="28"/>
  <c r="AD14" i="28" s="1"/>
  <c r="R14" i="28"/>
  <c r="AB14" i="28" s="1"/>
  <c r="S14" i="28"/>
  <c r="AC14" i="28" s="1"/>
  <c r="S13" i="28"/>
  <c r="AC13" i="28" s="1"/>
  <c r="Q13" i="28"/>
  <c r="AA13" i="28" s="1"/>
  <c r="R13" i="28"/>
  <c r="AB13" i="28" s="1"/>
  <c r="Q14" i="28"/>
  <c r="AA14" i="28" s="1"/>
  <c r="R12" i="28"/>
  <c r="AB12" i="28" s="1"/>
  <c r="P12" i="28"/>
  <c r="Z12" i="28" s="1"/>
  <c r="Q12" i="28"/>
  <c r="AA12" i="28" s="1"/>
  <c r="P13" i="28"/>
  <c r="Z13" i="28" s="1"/>
  <c r="P14" i="28"/>
  <c r="Z14" i="28" s="1"/>
  <c r="Q11" i="28"/>
  <c r="AA11" i="28" s="1"/>
  <c r="O11" i="28"/>
  <c r="Y11" i="28" s="1"/>
  <c r="P11" i="28"/>
  <c r="Z11" i="28" s="1"/>
  <c r="O12" i="28"/>
  <c r="Y12" i="28" s="1"/>
  <c r="O13" i="28"/>
  <c r="Y13" i="28" s="1"/>
  <c r="O14" i="28"/>
  <c r="Y14" i="28" s="1"/>
  <c r="P10" i="28"/>
  <c r="Z10" i="28" s="1"/>
  <c r="N10" i="28"/>
  <c r="X10" i="28" s="1"/>
  <c r="O10" i="28"/>
  <c r="Y10" i="28" s="1"/>
  <c r="N11" i="28"/>
  <c r="X11" i="28" s="1"/>
  <c r="N12" i="28"/>
  <c r="X12" i="28" s="1"/>
  <c r="N13" i="28"/>
  <c r="X13" i="28" s="1"/>
  <c r="N14" i="28"/>
  <c r="X14" i="28" s="1"/>
  <c r="O9" i="28"/>
  <c r="Y9" i="28" s="1"/>
  <c r="N9" i="28"/>
  <c r="X9" i="28" s="1"/>
  <c r="J32" i="28"/>
  <c r="H32" i="28"/>
  <c r="I32" i="28"/>
  <c r="I31" i="28"/>
  <c r="G31" i="28"/>
  <c r="H31" i="28"/>
  <c r="G32" i="28"/>
  <c r="H30" i="28"/>
  <c r="G30" i="28"/>
  <c r="G29" i="28"/>
  <c r="E29" i="28"/>
  <c r="F29" i="28"/>
  <c r="E30" i="28"/>
  <c r="F30" i="28"/>
  <c r="E31" i="28"/>
  <c r="F31" i="28"/>
  <c r="E32" i="28"/>
  <c r="F32" i="28"/>
  <c r="F28" i="28"/>
  <c r="D28" i="28"/>
  <c r="BB28" i="28" s="1"/>
  <c r="E28" i="28"/>
  <c r="D29" i="28"/>
  <c r="D30" i="28"/>
  <c r="D31" i="28"/>
  <c r="D32" i="28"/>
  <c r="E27" i="28"/>
  <c r="D27" i="28"/>
  <c r="BB27" i="28" s="1"/>
  <c r="J23" i="28"/>
  <c r="H23" i="28"/>
  <c r="I23" i="28"/>
  <c r="I22" i="28"/>
  <c r="G22" i="28"/>
  <c r="H22" i="28"/>
  <c r="G23" i="28"/>
  <c r="H21" i="28"/>
  <c r="F21" i="28"/>
  <c r="G21" i="28"/>
  <c r="F22" i="28"/>
  <c r="F23" i="28"/>
  <c r="G20" i="28"/>
  <c r="E20" i="28"/>
  <c r="F20" i="28"/>
  <c r="E21" i="28"/>
  <c r="E22" i="28"/>
  <c r="E23" i="28"/>
  <c r="F19" i="28"/>
  <c r="D20" i="28"/>
  <c r="BB20" i="28" s="1"/>
  <c r="D21" i="28"/>
  <c r="BB21" i="28" s="1"/>
  <c r="D22" i="28"/>
  <c r="BB22" i="28" s="1"/>
  <c r="D23" i="28"/>
  <c r="BB23" i="28" s="1"/>
  <c r="D19" i="28"/>
  <c r="BB19" i="28" s="1"/>
  <c r="E19" i="28"/>
  <c r="E18" i="28"/>
  <c r="D18" i="28"/>
  <c r="BB18" i="28" s="1"/>
  <c r="J14" i="28"/>
  <c r="H14" i="28"/>
  <c r="I14" i="28"/>
  <c r="I13" i="28"/>
  <c r="H13" i="28"/>
  <c r="H12" i="28"/>
  <c r="F12" i="28"/>
  <c r="G12" i="28"/>
  <c r="F13" i="28"/>
  <c r="G13" i="28"/>
  <c r="F14" i="28"/>
  <c r="G14" i="28"/>
  <c r="G11" i="28"/>
  <c r="E11" i="28"/>
  <c r="F11" i="28"/>
  <c r="E12" i="28"/>
  <c r="E13" i="28"/>
  <c r="E14" i="28"/>
  <c r="F10" i="28"/>
  <c r="E10" i="28"/>
  <c r="D10" i="28"/>
  <c r="D11" i="28"/>
  <c r="BB11" i="28" s="1"/>
  <c r="D12" i="28"/>
  <c r="BB12" i="28" s="1"/>
  <c r="D13" i="28"/>
  <c r="BB13" i="28" s="1"/>
  <c r="D14" i="28"/>
  <c r="BB14" i="28" s="1"/>
  <c r="E9" i="28"/>
  <c r="D9" i="28"/>
  <c r="BB9" i="28" s="1"/>
  <c r="M36" i="19"/>
  <c r="M38" i="19" s="1"/>
  <c r="M40" i="19" s="1"/>
  <c r="L36" i="19"/>
  <c r="L38" i="19" s="1"/>
  <c r="L40" i="19" s="1"/>
  <c r="K36" i="19"/>
  <c r="K38" i="19" s="1"/>
  <c r="K40" i="19" s="1"/>
  <c r="J36" i="19"/>
  <c r="J38" i="19" s="1"/>
  <c r="J40" i="19" s="1"/>
  <c r="I36" i="19"/>
  <c r="I38" i="19" s="1"/>
  <c r="I40" i="19" s="1"/>
  <c r="H36" i="19"/>
  <c r="H38" i="19" s="1"/>
  <c r="H40" i="19" s="1"/>
  <c r="P36" i="19"/>
  <c r="P38" i="19" s="1"/>
  <c r="P40" i="19" s="1"/>
  <c r="O36" i="19"/>
  <c r="O38" i="19" s="1"/>
  <c r="O40" i="19" s="1"/>
  <c r="N36" i="19"/>
  <c r="N38" i="19" s="1"/>
  <c r="N40" i="19" s="1"/>
  <c r="M22" i="19"/>
  <c r="M24" i="19" s="1"/>
  <c r="M26" i="19" s="1"/>
  <c r="L22" i="19"/>
  <c r="L24" i="19" s="1"/>
  <c r="L26" i="19" s="1"/>
  <c r="K22" i="19"/>
  <c r="K24" i="19" s="1"/>
  <c r="K26" i="19" s="1"/>
  <c r="P22" i="19"/>
  <c r="P24" i="19" s="1"/>
  <c r="P26" i="19" s="1"/>
  <c r="O22" i="19"/>
  <c r="O24" i="19" s="1"/>
  <c r="O26" i="19" s="1"/>
  <c r="N22" i="19"/>
  <c r="N24" i="19" s="1"/>
  <c r="N26" i="19" s="1"/>
  <c r="M36" i="18"/>
  <c r="M38" i="18" s="1"/>
  <c r="M40" i="18" s="1"/>
  <c r="L36" i="18"/>
  <c r="L38" i="18" s="1"/>
  <c r="L40" i="18" s="1"/>
  <c r="K36" i="18"/>
  <c r="K38" i="18" s="1"/>
  <c r="K40" i="18" s="1"/>
  <c r="P36" i="18"/>
  <c r="P38" i="18" s="1"/>
  <c r="P40" i="18" s="1"/>
  <c r="O36" i="18"/>
  <c r="O38" i="18" s="1"/>
  <c r="O40" i="18" s="1"/>
  <c r="N36" i="18"/>
  <c r="N38" i="18" s="1"/>
  <c r="N40" i="18" s="1"/>
  <c r="M22" i="18"/>
  <c r="M24" i="18" s="1"/>
  <c r="M26" i="18" s="1"/>
  <c r="L22" i="18"/>
  <c r="L24" i="18" s="1"/>
  <c r="L26" i="18" s="1"/>
  <c r="K22" i="18"/>
  <c r="K24" i="18" s="1"/>
  <c r="K26" i="18" s="1"/>
  <c r="P22" i="18"/>
  <c r="P24" i="18" s="1"/>
  <c r="P26" i="18" s="1"/>
  <c r="O22" i="18"/>
  <c r="O24" i="18" s="1"/>
  <c r="O26" i="18" s="1"/>
  <c r="N22" i="18"/>
  <c r="N24" i="18" s="1"/>
  <c r="N26" i="18" s="1"/>
  <c r="M36" i="17"/>
  <c r="M38" i="17" s="1"/>
  <c r="M40" i="17" s="1"/>
  <c r="L36" i="17"/>
  <c r="L38" i="17" s="1"/>
  <c r="L40" i="17" s="1"/>
  <c r="K36" i="17"/>
  <c r="K38" i="17" s="1"/>
  <c r="K40" i="17" s="1"/>
  <c r="P36" i="17"/>
  <c r="P38" i="17" s="1"/>
  <c r="P40" i="17" s="1"/>
  <c r="O36" i="17"/>
  <c r="O38" i="17" s="1"/>
  <c r="O40" i="17" s="1"/>
  <c r="N36" i="17"/>
  <c r="N38" i="17" s="1"/>
  <c r="N40" i="17" s="1"/>
  <c r="M22" i="17"/>
  <c r="M24" i="17" s="1"/>
  <c r="M26" i="17" s="1"/>
  <c r="L22" i="17"/>
  <c r="L24" i="17" s="1"/>
  <c r="L26" i="17" s="1"/>
  <c r="K22" i="17"/>
  <c r="K24" i="17" s="1"/>
  <c r="K26" i="17" s="1"/>
  <c r="P22" i="17"/>
  <c r="P24" i="17" s="1"/>
  <c r="P26" i="17" s="1"/>
  <c r="O22" i="17"/>
  <c r="O24" i="17" s="1"/>
  <c r="O26" i="17" s="1"/>
  <c r="N22" i="17"/>
  <c r="N24" i="17" s="1"/>
  <c r="N26" i="17" s="1"/>
  <c r="M36" i="16"/>
  <c r="M38" i="16" s="1"/>
  <c r="M40" i="16" s="1"/>
  <c r="L36" i="16"/>
  <c r="L38" i="16" s="1"/>
  <c r="L40" i="16" s="1"/>
  <c r="K36" i="16"/>
  <c r="K38" i="16" s="1"/>
  <c r="K40" i="16" s="1"/>
  <c r="P36" i="16"/>
  <c r="P38" i="16" s="1"/>
  <c r="P40" i="16" s="1"/>
  <c r="O36" i="16"/>
  <c r="O38" i="16" s="1"/>
  <c r="O40" i="16" s="1"/>
  <c r="N36" i="16"/>
  <c r="N38" i="16" s="1"/>
  <c r="N40" i="16" s="1"/>
  <c r="M24" i="16"/>
  <c r="M26" i="16" s="1"/>
  <c r="L24" i="16"/>
  <c r="L26" i="16" s="1"/>
  <c r="K24" i="16"/>
  <c r="K26" i="16" s="1"/>
  <c r="P24" i="16"/>
  <c r="P26" i="16" s="1"/>
  <c r="O24" i="16"/>
  <c r="O26" i="16" s="1"/>
  <c r="N24" i="16"/>
  <c r="N26" i="16" s="1"/>
  <c r="N36" i="8"/>
  <c r="N38" i="8" s="1"/>
  <c r="N40" i="8" s="1"/>
  <c r="J49" i="19"/>
  <c r="J51" i="19" s="1"/>
  <c r="J53" i="19" s="1"/>
  <c r="M258" i="27"/>
  <c r="M272" i="27" s="1"/>
  <c r="M256" i="27"/>
  <c r="M270" i="27" s="1"/>
  <c r="M229" i="27"/>
  <c r="M243" i="27" s="1"/>
  <c r="M227" i="27"/>
  <c r="M241" i="27"/>
  <c r="M225" i="27"/>
  <c r="M239" i="27" s="1"/>
  <c r="K32" i="11"/>
  <c r="K20" i="11"/>
  <c r="K33" i="11"/>
  <c r="K21" i="11"/>
  <c r="I26" i="27"/>
  <c r="H26" i="27"/>
  <c r="G26" i="27"/>
  <c r="AD24" i="26"/>
  <c r="AC24" i="26"/>
  <c r="AB24" i="26"/>
  <c r="AD23" i="26"/>
  <c r="AC23" i="26"/>
  <c r="AB23" i="26"/>
  <c r="AD21" i="26"/>
  <c r="AC21" i="26"/>
  <c r="AB21" i="26"/>
  <c r="AD20" i="26"/>
  <c r="AC20" i="26"/>
  <c r="AB20" i="26"/>
  <c r="AO24" i="26"/>
  <c r="AN24" i="26"/>
  <c r="AM24" i="26"/>
  <c r="AO23" i="26"/>
  <c r="AN23" i="26"/>
  <c r="AM23" i="26"/>
  <c r="AO21" i="26"/>
  <c r="AN21" i="26"/>
  <c r="AM21" i="26"/>
  <c r="AO20" i="26"/>
  <c r="AN20" i="26"/>
  <c r="AM20" i="26"/>
  <c r="AZ24" i="26"/>
  <c r="AY24" i="26"/>
  <c r="AX24" i="26"/>
  <c r="AZ23" i="26"/>
  <c r="AY23" i="26"/>
  <c r="AX23" i="26"/>
  <c r="AZ21" i="26"/>
  <c r="AY21" i="26"/>
  <c r="AX21" i="26"/>
  <c r="AZ20" i="26"/>
  <c r="AY20" i="26"/>
  <c r="AX20" i="26"/>
  <c r="Z60" i="26"/>
  <c r="AA60" i="26"/>
  <c r="Y60" i="26"/>
  <c r="Z59" i="26"/>
  <c r="AA59" i="26"/>
  <c r="Y59" i="26"/>
  <c r="Z58" i="26"/>
  <c r="AA58" i="26"/>
  <c r="Y58" i="26"/>
  <c r="Z57" i="26"/>
  <c r="AA57" i="26"/>
  <c r="Y57" i="26"/>
  <c r="Y50" i="26"/>
  <c r="Z50" i="26"/>
  <c r="AA50" i="26"/>
  <c r="AB50" i="26"/>
  <c r="AC50" i="26"/>
  <c r="AD50" i="26"/>
  <c r="AE50" i="26"/>
  <c r="AF50" i="26"/>
  <c r="AG50" i="26"/>
  <c r="Y51" i="26"/>
  <c r="Z51" i="26"/>
  <c r="AA51" i="26"/>
  <c r="AB51" i="26"/>
  <c r="AC51" i="26"/>
  <c r="AD51" i="26"/>
  <c r="AE51" i="26"/>
  <c r="AF51" i="26"/>
  <c r="AG51" i="26"/>
  <c r="Y52" i="26"/>
  <c r="Z52" i="26"/>
  <c r="AA52" i="26"/>
  <c r="AB52" i="26"/>
  <c r="AC52" i="26"/>
  <c r="AD52" i="26"/>
  <c r="AE52" i="26"/>
  <c r="AF52" i="26"/>
  <c r="AG52" i="26"/>
  <c r="Z49" i="26"/>
  <c r="AA49" i="26"/>
  <c r="AB49" i="26"/>
  <c r="AC49" i="26"/>
  <c r="AD49" i="26"/>
  <c r="AE49" i="26"/>
  <c r="AF49" i="26"/>
  <c r="AG49" i="26"/>
  <c r="Y49" i="26"/>
  <c r="Y42" i="26"/>
  <c r="Z42" i="26"/>
  <c r="AA42" i="26"/>
  <c r="AB42" i="26"/>
  <c r="AC42" i="26"/>
  <c r="AD42" i="26"/>
  <c r="AE42" i="26"/>
  <c r="AF42" i="26"/>
  <c r="AG42" i="26"/>
  <c r="Y43" i="26"/>
  <c r="Z43" i="26"/>
  <c r="AA43" i="26"/>
  <c r="AB43" i="26"/>
  <c r="AC43" i="26"/>
  <c r="AD43" i="26"/>
  <c r="AE43" i="26"/>
  <c r="AF43" i="26"/>
  <c r="AG43" i="26"/>
  <c r="Y44" i="26"/>
  <c r="Z44" i="26"/>
  <c r="AA44" i="26"/>
  <c r="AB44" i="26"/>
  <c r="AC44" i="26"/>
  <c r="AD44" i="26"/>
  <c r="AE44" i="26"/>
  <c r="AF44" i="26"/>
  <c r="AG44" i="26"/>
  <c r="Z41" i="26"/>
  <c r="AA41" i="26"/>
  <c r="AB41" i="26"/>
  <c r="AC41" i="26"/>
  <c r="AD41" i="26"/>
  <c r="AE41" i="26"/>
  <c r="AF41" i="26"/>
  <c r="AG41" i="26"/>
  <c r="Y41" i="26"/>
  <c r="C54" i="26"/>
  <c r="D54" i="26"/>
  <c r="E54" i="26"/>
  <c r="D53" i="26"/>
  <c r="E53" i="26"/>
  <c r="C53" i="26"/>
  <c r="C48" i="26"/>
  <c r="D48" i="26"/>
  <c r="E48" i="26"/>
  <c r="F48" i="26"/>
  <c r="G48" i="26"/>
  <c r="H48" i="26"/>
  <c r="I48" i="26"/>
  <c r="J48" i="26"/>
  <c r="K48" i="26"/>
  <c r="D47" i="26"/>
  <c r="E47" i="26"/>
  <c r="F47" i="26"/>
  <c r="G47" i="26"/>
  <c r="H47" i="26"/>
  <c r="I47" i="26"/>
  <c r="J47" i="26"/>
  <c r="K47" i="26"/>
  <c r="C47" i="26"/>
  <c r="C42" i="26"/>
  <c r="D42" i="26"/>
  <c r="E42" i="26"/>
  <c r="F42" i="26"/>
  <c r="G42" i="26"/>
  <c r="H42" i="26"/>
  <c r="I42" i="26"/>
  <c r="J42" i="26"/>
  <c r="K42" i="26"/>
  <c r="D41" i="26"/>
  <c r="E41" i="26"/>
  <c r="F41" i="26"/>
  <c r="G41" i="26"/>
  <c r="H41" i="26"/>
  <c r="I41" i="26"/>
  <c r="J41" i="26"/>
  <c r="K41" i="26"/>
  <c r="C41" i="26"/>
  <c r="H33" i="26"/>
  <c r="G33" i="26"/>
  <c r="F33" i="26"/>
  <c r="H32" i="26"/>
  <c r="G32" i="26"/>
  <c r="F32" i="26"/>
  <c r="C8" i="26"/>
  <c r="D8" i="26"/>
  <c r="E8" i="26"/>
  <c r="F8" i="26"/>
  <c r="G8" i="26"/>
  <c r="H8" i="26"/>
  <c r="I8" i="26"/>
  <c r="J8" i="26"/>
  <c r="B8" i="26"/>
  <c r="Q20" i="26"/>
  <c r="S24" i="26"/>
  <c r="R24" i="26"/>
  <c r="S23" i="26"/>
  <c r="R23" i="26"/>
  <c r="S21" i="26"/>
  <c r="R21" i="26"/>
  <c r="S20" i="26"/>
  <c r="R20" i="26"/>
  <c r="Q24" i="26"/>
  <c r="Q23" i="26"/>
  <c r="Q21" i="26"/>
  <c r="O60" i="26"/>
  <c r="P60" i="26"/>
  <c r="O59" i="26"/>
  <c r="P59" i="26"/>
  <c r="O58" i="26"/>
  <c r="P58" i="26"/>
  <c r="N60" i="26"/>
  <c r="N59" i="26"/>
  <c r="O52" i="26"/>
  <c r="P52" i="26"/>
  <c r="Q52" i="26"/>
  <c r="R52" i="26"/>
  <c r="S52" i="26"/>
  <c r="T52" i="26"/>
  <c r="U52" i="26"/>
  <c r="V52" i="26"/>
  <c r="O51" i="26"/>
  <c r="P51" i="26"/>
  <c r="Q51" i="26"/>
  <c r="R51" i="26"/>
  <c r="S51" i="26"/>
  <c r="T51" i="26"/>
  <c r="U51" i="26"/>
  <c r="V51" i="26"/>
  <c r="N52" i="26"/>
  <c r="N51" i="26"/>
  <c r="O50" i="26"/>
  <c r="P50" i="26"/>
  <c r="Q50" i="26"/>
  <c r="R50" i="26"/>
  <c r="S50" i="26"/>
  <c r="T50" i="26"/>
  <c r="U50" i="26"/>
  <c r="V50" i="26"/>
  <c r="N50" i="26"/>
  <c r="O57" i="26"/>
  <c r="P57" i="26"/>
  <c r="O49" i="26"/>
  <c r="P49" i="26"/>
  <c r="Q49" i="26"/>
  <c r="R49" i="26"/>
  <c r="S49" i="26"/>
  <c r="T49" i="26"/>
  <c r="U49" i="26"/>
  <c r="V49" i="26"/>
  <c r="N49" i="26"/>
  <c r="O44" i="26"/>
  <c r="P44" i="26"/>
  <c r="Q44" i="26"/>
  <c r="R44" i="26"/>
  <c r="S44" i="26"/>
  <c r="T44" i="26"/>
  <c r="U44" i="26"/>
  <c r="V44" i="26"/>
  <c r="N44" i="26"/>
  <c r="O43" i="26"/>
  <c r="P43" i="26"/>
  <c r="Q43" i="26"/>
  <c r="R43" i="26"/>
  <c r="S43" i="26"/>
  <c r="T43" i="26"/>
  <c r="U43" i="26"/>
  <c r="V43" i="26"/>
  <c r="N43" i="26"/>
  <c r="O42" i="26"/>
  <c r="P42" i="26"/>
  <c r="Q42" i="26"/>
  <c r="R42" i="26"/>
  <c r="S42" i="26"/>
  <c r="T42" i="26"/>
  <c r="U42" i="26"/>
  <c r="V42" i="26"/>
  <c r="N42" i="26"/>
  <c r="O41" i="26"/>
  <c r="P41" i="26"/>
  <c r="Q41" i="26"/>
  <c r="R41" i="26"/>
  <c r="S41" i="26"/>
  <c r="T41" i="26"/>
  <c r="U41" i="26"/>
  <c r="V41" i="26"/>
  <c r="N41" i="26"/>
  <c r="I60" i="13"/>
  <c r="H60" i="13"/>
  <c r="G60" i="13"/>
  <c r="I26" i="13"/>
  <c r="H26" i="13"/>
  <c r="G26" i="13"/>
  <c r="J60" i="13"/>
  <c r="J26" i="13"/>
  <c r="M36" i="8"/>
  <c r="M38" i="8" s="1"/>
  <c r="M40" i="8" s="1"/>
  <c r="P36" i="8"/>
  <c r="P38" i="8" s="1"/>
  <c r="P40" i="8" s="1"/>
  <c r="O22" i="8"/>
  <c r="O24" i="8" s="1"/>
  <c r="O26" i="8" s="1"/>
  <c r="N22" i="8"/>
  <c r="N24" i="8" s="1"/>
  <c r="N26" i="8" s="1"/>
  <c r="K22" i="8"/>
  <c r="K24" i="8" s="1"/>
  <c r="K26" i="8" s="1"/>
  <c r="L22" i="8"/>
  <c r="L24" i="8" s="1"/>
  <c r="L26" i="8" s="1"/>
  <c r="M22" i="8"/>
  <c r="M24" i="8" s="1"/>
  <c r="M26" i="8" s="1"/>
  <c r="O36" i="8"/>
  <c r="O38" i="8" s="1"/>
  <c r="O40" i="8" s="1"/>
  <c r="L36" i="8"/>
  <c r="L38" i="8" s="1"/>
  <c r="L40" i="8" s="1"/>
  <c r="K36" i="8"/>
  <c r="K38" i="8" s="1"/>
  <c r="K40" i="8" s="1"/>
  <c r="J26" i="27" l="1"/>
  <c r="I66" i="2"/>
  <c r="AL32" i="28"/>
  <c r="BC10" i="28"/>
  <c r="BC32" i="28"/>
  <c r="AJ10" i="28"/>
  <c r="AL22" i="28"/>
  <c r="AI12" i="28"/>
  <c r="BC9" i="28"/>
  <c r="AH27" i="28"/>
  <c r="AR27" i="28" s="1"/>
  <c r="AJ12" i="28"/>
  <c r="AI30" i="28"/>
  <c r="AH22" i="28"/>
  <c r="AR22" i="28" s="1"/>
  <c r="AL14" i="28"/>
  <c r="AK14" i="28"/>
  <c r="AM14" i="28"/>
  <c r="BD28" i="28"/>
  <c r="BE20" i="28"/>
  <c r="AH11" i="28"/>
  <c r="AL13" i="28"/>
  <c r="AI18" i="28"/>
  <c r="AH30" i="28"/>
  <c r="AR30" i="28" s="1"/>
  <c r="AJ28" i="28"/>
  <c r="AI22" i="28"/>
  <c r="AS22" i="28" s="1"/>
  <c r="AH28" i="28"/>
  <c r="AR28" i="28" s="1"/>
  <c r="BC28" i="28"/>
  <c r="AK12" i="28"/>
  <c r="AK13" i="28"/>
  <c r="AJ20" i="28"/>
  <c r="AH29" i="28"/>
  <c r="AR29" i="28" s="1"/>
  <c r="AJ32" i="28"/>
  <c r="AN32" i="28"/>
  <c r="BC18" i="28"/>
  <c r="BC21" i="28"/>
  <c r="AL12" i="28"/>
  <c r="AM13" i="28"/>
  <c r="AN14" i="28"/>
  <c r="AI19" i="28"/>
  <c r="AJ23" i="28"/>
  <c r="AN23" i="28"/>
  <c r="AH32" i="28"/>
  <c r="AR32" i="28" s="1"/>
  <c r="AI28" i="28"/>
  <c r="AI31" i="28"/>
  <c r="AH31" i="28"/>
  <c r="AR31" i="28" s="1"/>
  <c r="AH13" i="28"/>
  <c r="AH21" i="28"/>
  <c r="AR21" i="28" s="1"/>
  <c r="AH20" i="28"/>
  <c r="AR20" i="28" s="1"/>
  <c r="AK30" i="28"/>
  <c r="AJ19" i="28"/>
  <c r="AI23" i="28"/>
  <c r="BC27" i="28"/>
  <c r="AI29" i="28"/>
  <c r="AI13" i="28"/>
  <c r="AI21" i="28"/>
  <c r="AK32" i="28"/>
  <c r="AI20" i="28"/>
  <c r="AK31" i="28"/>
  <c r="BC29" i="28"/>
  <c r="AK20" i="28"/>
  <c r="AJ31" i="28"/>
  <c r="BD11" i="28"/>
  <c r="BE21" i="28"/>
  <c r="BC12" i="28"/>
  <c r="BC13" i="28"/>
  <c r="BC14" i="28"/>
  <c r="BH32" i="28"/>
  <c r="BH33" i="28" s="1"/>
  <c r="AK22" i="28"/>
  <c r="AJ22" i="28"/>
  <c r="AU22" i="28" s="1"/>
  <c r="BG31" i="28"/>
  <c r="AL30" i="28"/>
  <c r="BF23" i="28"/>
  <c r="AJ13" i="28"/>
  <c r="AK21" i="28"/>
  <c r="AM31" i="28"/>
  <c r="AK29" i="28"/>
  <c r="BD10" i="28"/>
  <c r="BF22" i="28"/>
  <c r="BF30" i="28"/>
  <c r="BB24" i="28"/>
  <c r="BB29" i="28"/>
  <c r="BF32" i="28"/>
  <c r="BF21" i="28"/>
  <c r="BD21" i="28"/>
  <c r="BD19" i="28"/>
  <c r="BC20" i="28"/>
  <c r="BB10" i="28"/>
  <c r="BB15" i="28" s="1"/>
  <c r="AJ29" i="28"/>
  <c r="AK23" i="28"/>
  <c r="BD20" i="28"/>
  <c r="BD29" i="28"/>
  <c r="BF31" i="28"/>
  <c r="AH9" i="28"/>
  <c r="AR9" i="28" s="1"/>
  <c r="BG22" i="28"/>
  <c r="BD22" i="28"/>
  <c r="AJ14" i="28"/>
  <c r="AI9" i="28"/>
  <c r="BC19" i="28"/>
  <c r="AM23" i="28"/>
  <c r="AH12" i="28"/>
  <c r="AR12" i="28" s="1"/>
  <c r="AH18" i="28"/>
  <c r="AR18" i="28" s="1"/>
  <c r="AM22" i="28"/>
  <c r="AH14" i="28"/>
  <c r="BC11" i="28"/>
  <c r="BD13" i="28"/>
  <c r="AL23" i="28"/>
  <c r="BE31" i="28"/>
  <c r="BD14" i="28"/>
  <c r="BE12" i="28"/>
  <c r="AI10" i="28"/>
  <c r="AH23" i="28"/>
  <c r="AJ30" i="28"/>
  <c r="AK11" i="28"/>
  <c r="AJ21" i="28"/>
  <c r="AI27" i="28"/>
  <c r="AS27" i="28" s="1"/>
  <c r="AH10" i="28"/>
  <c r="AR10" i="28" s="1"/>
  <c r="AL31" i="28"/>
  <c r="BE11" i="28"/>
  <c r="AI32" i="28"/>
  <c r="BE22" i="28"/>
  <c r="AJ11" i="28"/>
  <c r="BD32" i="28"/>
  <c r="BD23" i="28"/>
  <c r="AL21" i="28"/>
  <c r="BC31" i="28"/>
  <c r="AI14" i="28"/>
  <c r="AM32" i="28"/>
  <c r="BE23" i="28"/>
  <c r="BC30" i="28"/>
  <c r="I36" i="18"/>
  <c r="I38" i="18" s="1"/>
  <c r="I40" i="18" s="1"/>
  <c r="H49" i="19"/>
  <c r="H51" i="19" s="1"/>
  <c r="H53" i="19" s="1"/>
  <c r="I49" i="19"/>
  <c r="I51" i="19" s="1"/>
  <c r="I53" i="19" s="1"/>
  <c r="I49" i="18"/>
  <c r="I51" i="18" s="1"/>
  <c r="I53" i="18" s="1"/>
  <c r="H49" i="18"/>
  <c r="H51" i="18" s="1"/>
  <c r="H53" i="18" s="1"/>
  <c r="J36" i="18"/>
  <c r="J38" i="18" s="1"/>
  <c r="J40" i="18" s="1"/>
  <c r="H36" i="18"/>
  <c r="H38" i="18" s="1"/>
  <c r="H40" i="18" s="1"/>
  <c r="H24" i="16"/>
  <c r="H26" i="16" s="1"/>
  <c r="J49" i="16"/>
  <c r="J51" i="16" s="1"/>
  <c r="J53" i="16" s="1"/>
  <c r="J49" i="18"/>
  <c r="J51" i="18" s="1"/>
  <c r="J53" i="18" s="1"/>
  <c r="I49" i="17"/>
  <c r="I51" i="17" s="1"/>
  <c r="I53" i="17" s="1"/>
  <c r="I24" i="16"/>
  <c r="I26" i="16" s="1"/>
  <c r="J24" i="16"/>
  <c r="J26" i="16" s="1"/>
  <c r="H49" i="8"/>
  <c r="J36" i="8"/>
  <c r="J38" i="8" s="1"/>
  <c r="J40" i="8" s="1"/>
  <c r="I22" i="19"/>
  <c r="I24" i="19" s="1"/>
  <c r="I26" i="19" s="1"/>
  <c r="J22" i="19"/>
  <c r="J24" i="19" s="1"/>
  <c r="J26" i="19" s="1"/>
  <c r="H22" i="19"/>
  <c r="H24" i="19" s="1"/>
  <c r="H26" i="19" s="1"/>
  <c r="I22" i="18"/>
  <c r="I24" i="18" s="1"/>
  <c r="I26" i="18" s="1"/>
  <c r="J22" i="18"/>
  <c r="J24" i="18" s="1"/>
  <c r="J26" i="18" s="1"/>
  <c r="H22" i="18"/>
  <c r="H24" i="18" s="1"/>
  <c r="H26" i="18" s="1"/>
  <c r="H22" i="17"/>
  <c r="H24" i="17" s="1"/>
  <c r="H26" i="17" s="1"/>
  <c r="H49" i="17"/>
  <c r="H51" i="17" s="1"/>
  <c r="H53" i="17" s="1"/>
  <c r="J49" i="17"/>
  <c r="J51" i="17" s="1"/>
  <c r="J53" i="17" s="1"/>
  <c r="I22" i="17"/>
  <c r="I24" i="17" s="1"/>
  <c r="I26" i="17" s="1"/>
  <c r="J22" i="17"/>
  <c r="J24" i="17" s="1"/>
  <c r="J26" i="17" s="1"/>
  <c r="H36" i="17"/>
  <c r="H38" i="17" s="1"/>
  <c r="H40" i="17" s="1"/>
  <c r="I36" i="17"/>
  <c r="I38" i="17" s="1"/>
  <c r="I40" i="17" s="1"/>
  <c r="J36" i="17"/>
  <c r="J38" i="17" s="1"/>
  <c r="J40" i="17" s="1"/>
  <c r="J36" i="16"/>
  <c r="J38" i="16" s="1"/>
  <c r="J40" i="16" s="1"/>
  <c r="I36" i="16"/>
  <c r="I38" i="16" s="1"/>
  <c r="I40" i="16" s="1"/>
  <c r="I49" i="16"/>
  <c r="I51" i="16" s="1"/>
  <c r="I53" i="16" s="1"/>
  <c r="H36" i="16"/>
  <c r="H38" i="16" s="1"/>
  <c r="H40" i="16" s="1"/>
  <c r="H49" i="16"/>
  <c r="H51" i="16" s="1"/>
  <c r="H53" i="16" s="1"/>
  <c r="H36" i="8"/>
  <c r="H22" i="8"/>
  <c r="H24" i="8" s="1"/>
  <c r="H26" i="8" s="1"/>
  <c r="I36" i="8"/>
  <c r="I38" i="8" s="1"/>
  <c r="I40" i="8" s="1"/>
  <c r="I22" i="8"/>
  <c r="I24" i="8" s="1"/>
  <c r="I26" i="8" s="1"/>
  <c r="I49" i="8"/>
  <c r="I51" i="8" s="1"/>
  <c r="I53" i="8" s="1"/>
  <c r="J49" i="8"/>
  <c r="J51" i="8" s="1"/>
  <c r="J53" i="8" s="1"/>
  <c r="J22" i="8"/>
  <c r="J24" i="8" s="1"/>
  <c r="J26" i="8" s="1"/>
  <c r="BG32" i="28"/>
  <c r="AI11" i="28"/>
  <c r="BE32" i="28"/>
  <c r="BD30" i="28"/>
  <c r="BF13" i="28"/>
  <c r="BF14" i="28"/>
  <c r="BG13" i="28"/>
  <c r="BG14" i="28"/>
  <c r="BB31" i="28"/>
  <c r="BG23" i="28"/>
  <c r="BD31" i="28"/>
  <c r="BC22" i="28"/>
  <c r="BE30" i="28"/>
  <c r="BH23" i="28"/>
  <c r="BH24" i="28" s="1"/>
  <c r="BC23" i="28"/>
  <c r="BB32" i="28"/>
  <c r="BH14" i="28"/>
  <c r="BH15" i="28" s="1"/>
  <c r="BE13" i="28"/>
  <c r="AR11" i="28"/>
  <c r="BE14" i="28"/>
  <c r="AH19" i="28"/>
  <c r="BF12" i="28"/>
  <c r="BF15" i="28" s="1"/>
  <c r="BD12" i="28"/>
  <c r="BE29" i="28"/>
  <c r="BB30" i="28"/>
  <c r="AV13" i="28" l="1"/>
  <c r="BC33" i="28"/>
  <c r="AW13" i="28"/>
  <c r="AR13" i="28"/>
  <c r="AT13" i="28"/>
  <c r="AV32" i="28"/>
  <c r="AS30" i="28"/>
  <c r="AT20" i="28"/>
  <c r="AT28" i="28"/>
  <c r="AS13" i="28"/>
  <c r="AS28" i="28"/>
  <c r="AS31" i="28"/>
  <c r="AS9" i="28"/>
  <c r="AS29" i="28"/>
  <c r="BD15" i="28"/>
  <c r="AS21" i="28"/>
  <c r="AT29" i="28"/>
  <c r="BE24" i="28"/>
  <c r="AV30" i="28"/>
  <c r="AU29" i="28"/>
  <c r="AU20" i="28"/>
  <c r="AU13" i="28"/>
  <c r="AU31" i="28"/>
  <c r="AX23" i="28"/>
  <c r="AX24" i="28" s="1"/>
  <c r="AT14" i="28"/>
  <c r="BF24" i="28"/>
  <c r="AW31" i="28"/>
  <c r="AV21" i="28"/>
  <c r="AU32" i="28"/>
  <c r="AT31" i="28"/>
  <c r="AT32" i="28"/>
  <c r="AR33" i="28"/>
  <c r="AW22" i="28"/>
  <c r="AT22" i="28"/>
  <c r="BB33" i="28"/>
  <c r="AS32" i="28"/>
  <c r="AS33" i="28" s="1"/>
  <c r="AV22" i="28"/>
  <c r="AV31" i="28"/>
  <c r="BC15" i="28"/>
  <c r="AW32" i="28"/>
  <c r="AW33" i="28" s="1"/>
  <c r="AT10" i="28"/>
  <c r="BG33" i="28"/>
  <c r="AS20" i="28"/>
  <c r="BE15" i="28"/>
  <c r="BC24" i="28"/>
  <c r="AT11" i="28"/>
  <c r="AW23" i="28"/>
  <c r="AS23" i="28"/>
  <c r="AT23" i="28"/>
  <c r="AR23" i="28"/>
  <c r="AS12" i="28"/>
  <c r="AU30" i="28"/>
  <c r="AT30" i="28"/>
  <c r="AU23" i="28"/>
  <c r="AV14" i="28"/>
  <c r="AU14" i="28"/>
  <c r="AS10" i="28"/>
  <c r="AU21" i="28"/>
  <c r="AV12" i="28"/>
  <c r="AV15" i="28" s="1"/>
  <c r="AU12" i="28"/>
  <c r="BD33" i="28"/>
  <c r="AW14" i="28"/>
  <c r="AW15" i="28" s="1"/>
  <c r="AV23" i="28"/>
  <c r="AT12" i="28"/>
  <c r="BG24" i="28"/>
  <c r="BD24" i="28"/>
  <c r="AS14" i="28"/>
  <c r="AX14" i="28"/>
  <c r="AX15" i="28" s="1"/>
  <c r="AS18" i="28"/>
  <c r="AT21" i="28"/>
  <c r="AX32" i="28"/>
  <c r="AX33" i="28" s="1"/>
  <c r="AR14" i="28"/>
  <c r="AR15" i="28" s="1"/>
  <c r="BF33" i="28"/>
  <c r="H51" i="8"/>
  <c r="H53" i="8" s="1"/>
  <c r="H38" i="8"/>
  <c r="H40" i="8" s="1"/>
  <c r="AS19" i="28"/>
  <c r="AR19" i="28"/>
  <c r="AT19" i="28"/>
  <c r="BE33" i="28"/>
  <c r="AS11" i="28"/>
  <c r="AU11" i="28"/>
  <c r="BG15" i="28"/>
  <c r="AV33" i="28" l="1"/>
  <c r="AU33" i="28"/>
  <c r="AT15" i="28"/>
  <c r="AT33" i="28"/>
  <c r="AW24" i="28"/>
  <c r="AS24" i="28"/>
  <c r="AV24" i="28"/>
  <c r="AU24" i="28"/>
  <c r="AR24" i="28"/>
  <c r="AT24" i="28"/>
  <c r="BK27" i="28"/>
  <c r="BL27" i="28" s="1"/>
  <c r="K116" i="27" s="1"/>
  <c r="BK18" i="28"/>
  <c r="BL18" i="28" s="1"/>
  <c r="K115" i="27" s="1"/>
  <c r="AS15" i="28"/>
  <c r="AU15" i="28"/>
  <c r="BJ9" i="28"/>
  <c r="I114" i="27" s="1"/>
  <c r="BJ27" i="28"/>
  <c r="I116" i="27" s="1"/>
  <c r="BK9" i="28"/>
  <c r="J115" i="27" l="1"/>
  <c r="J116" i="27"/>
  <c r="BJ18" i="28"/>
  <c r="I115" i="27" s="1"/>
  <c r="BL9" i="28"/>
  <c r="K114" i="27" s="1"/>
  <c r="J114" i="27"/>
</calcChain>
</file>

<file path=xl/sharedStrings.xml><?xml version="1.0" encoding="utf-8"?>
<sst xmlns="http://schemas.openxmlformats.org/spreadsheetml/2006/main" count="1840" uniqueCount="320">
  <si>
    <t>Group 1:</t>
  </si>
  <si>
    <t>Group 2:</t>
  </si>
  <si>
    <t xml:space="preserve">Group 4: </t>
  </si>
  <si>
    <t xml:space="preserve">Sexual Behavior </t>
  </si>
  <si>
    <t>13-15</t>
  </si>
  <si>
    <t>16-17</t>
  </si>
  <si>
    <t xml:space="preserve">18+ </t>
  </si>
  <si>
    <t>Age Group</t>
  </si>
  <si>
    <t>Epidemiological Factors - Prevalence</t>
  </si>
  <si>
    <t>Prevalence among MSM</t>
  </si>
  <si>
    <t>Prevalence among MSF</t>
  </si>
  <si>
    <t>Prevalence among FSM</t>
  </si>
  <si>
    <t>Males</t>
  </si>
  <si>
    <t>Females</t>
  </si>
  <si>
    <t>Sexually active population</t>
  </si>
  <si>
    <t>Total</t>
  </si>
  <si>
    <t xml:space="preserve">Step 1: </t>
  </si>
  <si>
    <r>
      <t>Please enter the total population size (</t>
    </r>
    <r>
      <rPr>
        <i/>
        <sz val="11"/>
        <color theme="1"/>
        <rFont val="Avenir Next Cyr W04 Demi"/>
        <family val="2"/>
      </rPr>
      <t>all</t>
    </r>
    <r>
      <rPr>
        <sz val="11"/>
        <color theme="1"/>
        <rFont val="Avenir Next Cyr W04 Demi"/>
        <family val="2"/>
      </rPr>
      <t xml:space="preserve"> adolescents, sexually active or not) by age group</t>
    </r>
  </si>
  <si>
    <t>Total sexually active</t>
  </si>
  <si>
    <t>Step 2:</t>
  </si>
  <si>
    <t>Please enter the proportion of adolesents who belong to the following sexual behavior groups</t>
  </si>
  <si>
    <t>Note: 5% should be entered as 0.05</t>
  </si>
  <si>
    <t>Step 3:</t>
  </si>
  <si>
    <t>Please enter the proportion of each sexual behavior group that is sexually active by age group</t>
  </si>
  <si>
    <t>Step 4:</t>
  </si>
  <si>
    <t xml:space="preserve">Vaginal-Penile </t>
  </si>
  <si>
    <t xml:space="preserve">Penile-Anal  </t>
  </si>
  <si>
    <t>Penile-Vaginal</t>
  </si>
  <si>
    <t>receptive</t>
  </si>
  <si>
    <t>penile</t>
  </si>
  <si>
    <t>vaginal</t>
  </si>
  <si>
    <t>sex per year</t>
  </si>
  <si>
    <t>insertive</t>
  </si>
  <si>
    <t>anal</t>
  </si>
  <si>
    <t>condom use during</t>
  </si>
  <si>
    <t>sex</t>
  </si>
  <si>
    <t>risk from condomless</t>
  </si>
  <si>
    <t>total acquistion risk</t>
  </si>
  <si>
    <t>% diagnosed</t>
  </si>
  <si>
    <t>HIV</t>
  </si>
  <si>
    <t>&lt;- calculated parameter</t>
  </si>
  <si>
    <t>&lt;- inputted parameter</t>
  </si>
  <si>
    <t>Gonorrhea</t>
  </si>
  <si>
    <t>Chlamydia</t>
  </si>
  <si>
    <t>Population Sizes</t>
  </si>
  <si>
    <t>Diagnoses among MSM</t>
  </si>
  <si>
    <t>Diagnoses among FSM</t>
  </si>
  <si>
    <t>Note: this group not modeled in this tool, used here for population size estimation</t>
  </si>
  <si>
    <t xml:space="preserve">You do not have to model all three infections at the same time. For example, if you wish to only model HIV, you can simply ignore all prompts for gonorrhea and chlamydia parameters and leave them blank, or you can set all of the gonorrhea and chlamydia parameters to 0. </t>
  </si>
  <si>
    <t>Neisseria gonorrhea</t>
  </si>
  <si>
    <t>Chlamydia trachomatis</t>
  </si>
  <si>
    <t>Comparison Model 1 - Full Parameter List</t>
  </si>
  <si>
    <t>Comparison Model 2 - Full Parameter List</t>
  </si>
  <si>
    <t>Comparison Model 3 - Full Parameter List</t>
  </si>
  <si>
    <t>Important!</t>
  </si>
  <si>
    <t>Alternative Population Size Calculator</t>
  </si>
  <si>
    <t>Group 3:</t>
  </si>
  <si>
    <t>Interventions</t>
  </si>
  <si>
    <t>OR</t>
  </si>
  <si>
    <t>Increase among MSM</t>
  </si>
  <si>
    <t>Increase among FSM</t>
  </si>
  <si>
    <t>Decrease among MSM</t>
  </si>
  <si>
    <t>Decrease among FSM</t>
  </si>
  <si>
    <t>Group 1: MSM</t>
  </si>
  <si>
    <t>Group 3: FSM</t>
  </si>
  <si>
    <t>MSM</t>
  </si>
  <si>
    <t>MSFO</t>
  </si>
  <si>
    <t>FSM</t>
  </si>
  <si>
    <t>Males Who Have Sex with Males Only &amp; Males Who Have Sex with Males and Females (MSM)</t>
  </si>
  <si>
    <t>Males Who Have Sex with Females Only (MSFO)</t>
  </si>
  <si>
    <t>Females Who Have Sex with Males Only and Males Who Have Sex with Males and Females (FSM)</t>
  </si>
  <si>
    <t>Females Who Have Sex with Females Only (FSFO)</t>
  </si>
  <si>
    <t>Baseline Model - Full Parameter List</t>
  </si>
  <si>
    <t>Group 1 - MSM</t>
  </si>
  <si>
    <t>Group 2 - MSF</t>
  </si>
  <si>
    <t>Group 3 - FSM</t>
  </si>
  <si>
    <t xml:space="preserve">Total among males </t>
  </si>
  <si>
    <t xml:space="preserve">Total among females </t>
  </si>
  <si>
    <t xml:space="preserve">Model: </t>
  </si>
  <si>
    <t>18+</t>
  </si>
  <si>
    <t>GC</t>
  </si>
  <si>
    <t>CT</t>
  </si>
  <si>
    <t>Baseline Parameters</t>
  </si>
  <si>
    <t>Anal-Penile (Insertive Risk)………</t>
  </si>
  <si>
    <t>Penile-Anal (Receptive Risk)…….</t>
  </si>
  <si>
    <t xml:space="preserve">Incident Cases in the last 12 months: </t>
  </si>
  <si>
    <t>Incidence among MSM……</t>
  </si>
  <si>
    <t>Incidence among MSF…….</t>
  </si>
  <si>
    <t>Incidence among FSM…….</t>
  </si>
  <si>
    <t>Among MSM……</t>
  </si>
  <si>
    <t>Among MSF…….</t>
  </si>
  <si>
    <t>Among FSM…….</t>
  </si>
  <si>
    <t>Penile-Vaginal (Receptive Risk)..</t>
  </si>
  <si>
    <t>Vaginal-Penile (Insertive Risk)…..</t>
  </si>
  <si>
    <t>Number of prevalent cases:</t>
  </si>
  <si>
    <t>MSF</t>
  </si>
  <si>
    <t>Diagnoses among MSF</t>
  </si>
  <si>
    <t>Group 2: MSF</t>
  </si>
  <si>
    <t>Same as Baseline Model</t>
  </si>
  <si>
    <t xml:space="preserve">Expected Number of New Partners per Year </t>
  </si>
  <si>
    <t>New Partners per Year Calculator</t>
  </si>
  <si>
    <t xml:space="preserve">New Partners per Year Calculator </t>
  </si>
  <si>
    <t>D: Average Partners, weighted by (A)</t>
  </si>
  <si>
    <t xml:space="preserve">E: (D), Avg # partners had at given age, by that age </t>
  </si>
  <si>
    <t>total</t>
  </si>
  <si>
    <t>G</t>
  </si>
  <si>
    <t xml:space="preserve">Females  </t>
  </si>
  <si>
    <t xml:space="preserve">Males      </t>
  </si>
  <si>
    <t xml:space="preserve">MSM    </t>
  </si>
  <si>
    <t xml:space="preserve">MSF     </t>
  </si>
  <si>
    <t xml:space="preserve">FSM     </t>
  </si>
  <si>
    <r>
      <t>The three STIs that this tool focuses on are gonorrhea (</t>
    </r>
    <r>
      <rPr>
        <b/>
        <i/>
        <sz val="12"/>
        <color theme="1"/>
        <rFont val="Arial"/>
        <family val="2"/>
      </rPr>
      <t>Neisseria gonorrhea</t>
    </r>
    <r>
      <rPr>
        <b/>
        <sz val="12"/>
        <color theme="1"/>
        <rFont val="Arial"/>
        <family val="2"/>
      </rPr>
      <t>), chlamydia (</t>
    </r>
    <r>
      <rPr>
        <b/>
        <i/>
        <sz val="12"/>
        <color theme="1"/>
        <rFont val="Arial"/>
        <family val="2"/>
      </rPr>
      <t>Chlamydia trachomatis</t>
    </r>
    <r>
      <rPr>
        <b/>
        <sz val="12"/>
        <color theme="1"/>
        <rFont val="Arial"/>
        <family val="2"/>
      </rPr>
      <t>), and HIV (</t>
    </r>
    <r>
      <rPr>
        <b/>
        <i/>
        <sz val="12"/>
        <color theme="1"/>
        <rFont val="Arial"/>
        <family val="2"/>
      </rPr>
      <t>Human Immunodeficiency Virus</t>
    </r>
    <r>
      <rPr>
        <b/>
        <sz val="12"/>
        <color theme="1"/>
        <rFont val="Arial"/>
        <family val="2"/>
      </rPr>
      <t>).</t>
    </r>
  </si>
  <si>
    <t xml:space="preserve">What proportion of MSM's partners are females? </t>
  </si>
  <si>
    <t>Decrease among MSF</t>
  </si>
  <si>
    <t>Increase among MSF</t>
  </si>
  <si>
    <t xml:space="preserve">Among females: </t>
  </si>
  <si>
    <t xml:space="preserve">Among males: </t>
  </si>
  <si>
    <t xml:space="preserve">Average duration among females: </t>
  </si>
  <si>
    <t xml:space="preserve">Average duration among males: </t>
  </si>
  <si>
    <t>Number of prevalent cases among MSM:</t>
  </si>
  <si>
    <t xml:space="preserve">NG </t>
  </si>
  <si>
    <t>Calibration - all diagnosed cases</t>
  </si>
  <si>
    <t>The tool was developed primarily for users who have access to data for their jurisdiction from the YRBS (Youth Risk and Behavior Survey). However, other users may also find it useful.</t>
  </si>
  <si>
    <t>If you do not have your own data you wish to input for each parameter, there are defaults in place drawn from the STI literature, as well as the national YRBS (Youth Risk and Behavior Survey) and NSFG (National Survey of Family Growth).</t>
  </si>
  <si>
    <t xml:space="preserve">Note: these cells update automatically based on inputs above     </t>
  </si>
  <si>
    <t>Note: Please use decimal format. For example, 5% should be entered as 0.05</t>
  </si>
  <si>
    <t xml:space="preserve">  Note: Please use decimal format. For example, 5% should be entered as 0.05</t>
  </si>
  <si>
    <r>
      <rPr>
        <b/>
        <sz val="13"/>
        <color theme="1"/>
        <rFont val="Arial"/>
        <family val="2"/>
      </rPr>
      <t xml:space="preserve">By what percent should the frequency of sex acts be decreased? </t>
    </r>
    <r>
      <rPr>
        <b/>
        <sz val="11"/>
        <color theme="1"/>
        <rFont val="Arial"/>
        <family val="2"/>
      </rPr>
      <t xml:space="preserve"> (Note: please use decimal format. For example, 5% should be entered as 0.05)</t>
    </r>
  </si>
  <si>
    <r>
      <rPr>
        <b/>
        <sz val="13"/>
        <color theme="1"/>
        <rFont val="Arial"/>
        <family val="2"/>
      </rPr>
      <t xml:space="preserve">By what percent should condom use be increased? </t>
    </r>
    <r>
      <rPr>
        <b/>
        <sz val="11"/>
        <color theme="1"/>
        <rFont val="Arial"/>
        <family val="2"/>
      </rPr>
      <t>(Note: please use decimal format. For example, 5% should be entered as 0.05)</t>
    </r>
  </si>
  <si>
    <r>
      <t xml:space="preserve">On the </t>
    </r>
    <r>
      <rPr>
        <b/>
        <i/>
        <sz val="12"/>
        <color theme="1"/>
        <rFont val="Arial"/>
        <family val="2"/>
      </rPr>
      <t>Population sizes</t>
    </r>
    <r>
      <rPr>
        <b/>
        <sz val="12"/>
        <color theme="1"/>
        <rFont val="Arial"/>
        <family val="2"/>
      </rPr>
      <t xml:space="preserve">, </t>
    </r>
    <r>
      <rPr>
        <b/>
        <i/>
        <sz val="12"/>
        <color theme="1"/>
        <rFont val="Arial"/>
        <family val="2"/>
      </rPr>
      <t>Behavior</t>
    </r>
    <r>
      <rPr>
        <b/>
        <sz val="12"/>
        <color theme="1"/>
        <rFont val="Arial"/>
        <family val="2"/>
      </rPr>
      <t xml:space="preserve">, </t>
    </r>
    <r>
      <rPr>
        <b/>
        <i/>
        <sz val="12"/>
        <color theme="1"/>
        <rFont val="Arial"/>
        <family val="2"/>
      </rPr>
      <t>Diagnoses</t>
    </r>
    <r>
      <rPr>
        <b/>
        <sz val="12"/>
        <color theme="1"/>
        <rFont val="Arial"/>
        <family val="2"/>
      </rPr>
      <t xml:space="preserve"> and </t>
    </r>
    <r>
      <rPr>
        <b/>
        <i/>
        <sz val="12"/>
        <color theme="1"/>
        <rFont val="Arial"/>
        <family val="2"/>
      </rPr>
      <t xml:space="preserve">Interventions </t>
    </r>
    <r>
      <rPr>
        <b/>
        <sz val="12"/>
        <color theme="1"/>
        <rFont val="Arial"/>
        <family val="2"/>
      </rPr>
      <t xml:space="preserve">worksheets, we will ask you about the size and composition of the adolescent population you wish to model, basic aspects of the sexual behavior of these individuals, numbers of recent diagnoses, and the scale of the proposed interventions. The </t>
    </r>
    <r>
      <rPr>
        <b/>
        <i/>
        <sz val="12"/>
        <color theme="1"/>
        <rFont val="Arial"/>
        <family val="2"/>
      </rPr>
      <t xml:space="preserve">Advanced options </t>
    </r>
    <r>
      <rPr>
        <b/>
        <sz val="12"/>
        <color theme="1"/>
        <rFont val="Arial"/>
        <family val="2"/>
      </rPr>
      <t>worksheet allows for additional optional inputs.</t>
    </r>
  </si>
  <si>
    <t>Transmissibility</t>
  </si>
  <si>
    <t>Diagnoses</t>
  </si>
  <si>
    <t>Prevalence of STI among male partners</t>
  </si>
  <si>
    <t>Prevalence of STI among female partners</t>
  </si>
  <si>
    <t>&lt;- main results</t>
  </si>
  <si>
    <t>current prevalence</t>
  </si>
  <si>
    <t>expected # incident cases in yext year</t>
  </si>
  <si>
    <t>expected # diagnosed cases in yext year</t>
  </si>
  <si>
    <t>Users of this tool should review the tool manual before beginning use, since this provides much necessary detail about the meanings of both the inputs and outputs.  It also provides examples, as well as explanations for the parameter values that are present in the tool by default.</t>
  </si>
  <si>
    <t>For each subgroup, please enter the probability that the average individual uses a condom during a single sexual act, in decimal format (i.e. 0.65)</t>
  </si>
  <si>
    <t>Across all subgroups:</t>
  </si>
  <si>
    <t xml:space="preserve">Within each subgroup: </t>
  </si>
  <si>
    <t>Export</t>
  </si>
  <si>
    <t>Please enter the total adolescent population size by sex and age group in your jurisdiction</t>
  </si>
  <si>
    <t>Please enter the proportion of adolescents who attend high school by sex and age group</t>
  </si>
  <si>
    <t xml:space="preserve">Step 1: What proportion of incident cases get diagnosed? </t>
  </si>
  <si>
    <t xml:space="preserve">Step 2: What is the average duration of infection in years? </t>
  </si>
  <si>
    <t xml:space="preserve">    </t>
  </si>
  <si>
    <t xml:space="preserve">        Note: these cells update automatically based on inputs to the left</t>
  </si>
  <si>
    <t xml:space="preserve">           Note: these cells update automatically based on inputs to the left</t>
  </si>
  <si>
    <r>
      <t xml:space="preserve">     Note: users should not need to access or edit this worksheet directly.  This worksheet conducts behind-the-scenes calculations to convert from lifetime partner numbers (entered on the </t>
    </r>
    <r>
      <rPr>
        <b/>
        <i/>
        <sz val="13"/>
        <color theme="1"/>
        <rFont val="Arial"/>
        <family val="2"/>
      </rPr>
      <t xml:space="preserve">Advanced options </t>
    </r>
    <r>
      <rPr>
        <b/>
        <sz val="13"/>
        <color theme="1"/>
        <rFont val="Arial"/>
        <family val="2"/>
      </rPr>
      <t>worksheet) to</t>
    </r>
  </si>
  <si>
    <r>
      <t xml:space="preserve">     the annual partner numbers presented on the </t>
    </r>
    <r>
      <rPr>
        <b/>
        <i/>
        <sz val="13"/>
        <color theme="1"/>
        <rFont val="Arial"/>
        <family val="2"/>
      </rPr>
      <t xml:space="preserve">Sexual behavior </t>
    </r>
    <r>
      <rPr>
        <b/>
        <sz val="13"/>
        <color theme="1"/>
        <rFont val="Arial"/>
        <family val="2"/>
      </rPr>
      <t>worksheet.</t>
    </r>
  </si>
  <si>
    <t>Infection Prevalence among Partners</t>
  </si>
  <si>
    <t xml:space="preserve">        Results</t>
  </si>
  <si>
    <t>Incident Cases Averted From Baseline</t>
  </si>
  <si>
    <t>Incident</t>
  </si>
  <si>
    <t>Diagnosed</t>
  </si>
  <si>
    <t xml:space="preserve">Input Parameters: </t>
  </si>
  <si>
    <t>Per-Act Transmission Probabilities</t>
  </si>
  <si>
    <t xml:space="preserve">Inc. Cases Averted from Baseline </t>
  </si>
  <si>
    <t>----------------------------------------------------------------------------------------</t>
  </si>
  <si>
    <t xml:space="preserve">Incident Cases </t>
  </si>
  <si>
    <t xml:space="preserve">Diagnosed Cases </t>
  </si>
  <si>
    <t>partners per year</t>
  </si>
  <si>
    <t xml:space="preserve"># of sex acts per new partner </t>
  </si>
  <si>
    <t># of new</t>
  </si>
  <si>
    <t>Number of diagnoses per 12-month period among 13-18 year-olds in or out of school:</t>
  </si>
  <si>
    <t>Number of diagnoses per 12-month period among 13-18 year-old MSM in or out of school:</t>
  </si>
  <si>
    <t xml:space="preserve">Step1: What proportion of adolescent MSM living with HIV are aware of their status? </t>
  </si>
  <si>
    <t>Step 2: What is the ratio between prevalence and incidence of diagnosed HIV infection among adolescent MSM?</t>
  </si>
  <si>
    <t>About teen-SPARC</t>
  </si>
  <si>
    <t>Welcome! This tool is designed to help predict the effects of several kinds of behavior change interventions to reduce the burden of sexually transmitted infections (STIs) among adolescent populations.</t>
  </si>
  <si>
    <t>The model is a 1-year forecast of the number of incident infections and new diagnoses per pathogen, as well as the number and percent averted by interventions. Each of these outcomes is broken down by age groups (13-15, 16-17, 18) and sexual partnering groups (males who have sex with males; males who have sex with females only; females who have sex with males).</t>
  </si>
  <si>
    <t>Table of Contents</t>
  </si>
  <si>
    <r>
      <t xml:space="preserve">Group 1: </t>
    </r>
    <r>
      <rPr>
        <sz val="12"/>
        <color rgb="FF000000"/>
        <rFont val="Arial"/>
        <family val="2"/>
      </rPr>
      <t>Males who have sex with males only, &amp; males who have sex with males and females (MSM)</t>
    </r>
  </si>
  <si>
    <r>
      <t xml:space="preserve">Group 2: </t>
    </r>
    <r>
      <rPr>
        <sz val="12"/>
        <color rgb="FF000000"/>
        <rFont val="Arial"/>
        <family val="2"/>
      </rPr>
      <t>Males who have sex with females only (MSF)</t>
    </r>
  </si>
  <si>
    <r>
      <t xml:space="preserve">Group 3: </t>
    </r>
    <r>
      <rPr>
        <sz val="12"/>
        <color rgb="FF000000"/>
        <rFont val="Arial"/>
        <family val="2"/>
      </rPr>
      <t>Females who have sex with males only, &amp; females who have sex with males and females (FSM)</t>
    </r>
  </si>
  <si>
    <t>The total population is broken down into age groups and sexual partnering groups.</t>
  </si>
  <si>
    <t xml:space="preserve"> The sexual partnering groups are defined as follows:</t>
  </si>
  <si>
    <t>For detailed instructions on how to pull the data required below from YRBS and the US Census Bureau website,</t>
  </si>
  <si>
    <t>Total By Age</t>
  </si>
  <si>
    <t>Total Pop</t>
  </si>
  <si>
    <t>You may manually enter each cell based on your own data, or use our defaults.</t>
  </si>
  <si>
    <t>For frequencies, please use a number: e.g. "6.7" or "3". For probablilties, please use decimal format: e.g. a 65% probability of condom use should be entered as 0.65</t>
  </si>
  <si>
    <t>Note: clicking "Set to Defaults" will set all of the cells in that section to default values drawn from national survey data.</t>
  </si>
  <si>
    <t xml:space="preserve"> If you wish to use some of your own data, and some of our defaults, select "Set to Defaults" and then simply replace individuals cells with your own desired inputs. </t>
  </si>
  <si>
    <t>For those using YRBS data, number of partners per year is most easily (and automatically) calcuated by entering YRBS data in the "new partners per year"</t>
  </si>
  <si>
    <r>
      <t xml:space="preserve"> calculator on the </t>
    </r>
    <r>
      <rPr>
        <b/>
        <i/>
        <sz val="12"/>
        <color rgb="FF000000"/>
        <rFont val="Arial"/>
        <family val="2"/>
      </rPr>
      <t xml:space="preserve">Advanced Options </t>
    </r>
    <r>
      <rPr>
        <b/>
        <sz val="12"/>
        <color rgb="FF000000"/>
        <rFont val="Arial"/>
        <family val="2"/>
      </rPr>
      <t xml:space="preserve">page.  Interventions on these behaviors will be implemented in a later step. </t>
    </r>
  </si>
  <si>
    <t xml:space="preserve">Step 1: Number of New Partners per Year </t>
  </si>
  <si>
    <t>Step 2: Coital Frequency</t>
  </si>
  <si>
    <t xml:space="preserve">Please enter the average number of new partners per year </t>
  </si>
  <si>
    <t xml:space="preserve">Step 3:  Probability of Condom Use </t>
  </si>
  <si>
    <t xml:space="preserve">For gonorhea and chlamydia: </t>
  </si>
  <si>
    <t xml:space="preserve">Please enter the number of cases reported in your population in the most recent 12-month period for which </t>
  </si>
  <si>
    <t>For HIV:</t>
  </si>
  <si>
    <t xml:space="preserve">Please enter the overall diagnosis rate (prevalence) per 100,000. </t>
  </si>
  <si>
    <r>
      <t>For all three infections</t>
    </r>
    <r>
      <rPr>
        <sz val="13"/>
        <color rgb="FF000000"/>
        <rFont val="Arial"/>
        <family val="2"/>
      </rPr>
      <t>:</t>
    </r>
  </si>
  <si>
    <r>
      <t xml:space="preserve">data are available. </t>
    </r>
    <r>
      <rPr>
        <sz val="13"/>
        <color rgb="FF000000"/>
        <rFont val="Calibri"/>
        <family val="2"/>
        <scheme val="minor"/>
      </rPr>
      <t>(</t>
    </r>
    <r>
      <rPr>
        <sz val="13"/>
        <color rgb="FF000000"/>
        <rFont val="Arial"/>
        <family val="2"/>
      </rPr>
      <t xml:space="preserve">Include all genital/urethral diagnoses, as well as rectal diagnoses for MSM.) </t>
    </r>
  </si>
  <si>
    <t xml:space="preserve">Neisseria gonorrhea </t>
  </si>
  <si>
    <t>Pop Size</t>
  </si>
  <si>
    <t>---------------------------------------------------------------------------------------------------</t>
  </si>
  <si>
    <t>For percentages, please use decimal format; e.g. a 5% increase in condom use should be entered as 0.05</t>
  </si>
  <si>
    <t xml:space="preserve">For example, you can enter "0.1" under "across all groups" for a 10% increase in condom use for all adolescents, </t>
  </si>
  <si>
    <t xml:space="preserve">or use subgroup boxes to isolate the interventions among the 13-15-year age group exclusively. </t>
  </si>
  <si>
    <t>You can choose to either apply the same intervention across all subgroups, or apply specific interventions by subgroup.</t>
  </si>
  <si>
    <t xml:space="preserve">Summary   </t>
  </si>
  <si>
    <t>Breakdown by Group</t>
  </si>
  <si>
    <t xml:space="preserve">Note: for internal use only.  Advanced users who wish to understand </t>
  </si>
  <si>
    <t xml:space="preserve">this step should see Section H (Technical note: Model calibration) </t>
  </si>
  <si>
    <t>of the manual.</t>
  </si>
  <si>
    <t xml:space="preserve">Please refer to tool manual Section D8. </t>
  </si>
  <si>
    <t xml:space="preserve">Default parameters for steps 2 and 3 were estimated using the 2015 National YRBS dataset. </t>
  </si>
  <si>
    <t xml:space="preserve">Note: clicking "Set to Defaults" will set all of the cells in that section to default values. If you wish to use some of your own data, </t>
  </si>
  <si>
    <t xml:space="preserve">and some  defaults, select "Set to Defaults" and then simply replace individuals cells with your own desired inputs. </t>
  </si>
  <si>
    <t xml:space="preserve">This section assists users who have YRBS data for their jurisdiction to calculate the average number of new partners </t>
  </si>
  <si>
    <t>per year for each subgroup.</t>
  </si>
  <si>
    <t xml:space="preserve">Please refer to the tool manual Section D9 for specific instructions on how to create the two matrices required for </t>
  </si>
  <si>
    <t xml:space="preserve">this calculation. </t>
  </si>
  <si>
    <t>AGE</t>
  </si>
  <si>
    <r>
      <t>Transmissibility</t>
    </r>
    <r>
      <rPr>
        <b/>
        <sz val="13"/>
        <color rgb="FF000000"/>
        <rFont val="Arial"/>
        <family val="2"/>
      </rPr>
      <t xml:space="preserve"> is the directional probability of transmission of an STI during one condomless sexual act between an uninfected </t>
    </r>
  </si>
  <si>
    <t>and an infected individual. Transmissibility can vary widely based on many factors for a given infection, so parameters represent</t>
  </si>
  <si>
    <t xml:space="preserve"> averages.</t>
  </si>
  <si>
    <t xml:space="preserve">In this model, we consider transmissibility probabilities for the four following scenarios: </t>
  </si>
  <si>
    <r>
      <t xml:space="preserve">- </t>
    </r>
    <r>
      <rPr>
        <b/>
        <sz val="13"/>
        <color rgb="FF000000"/>
        <rFont val="Arial"/>
        <family val="2"/>
      </rPr>
      <t>Penile-Vaginal</t>
    </r>
    <r>
      <rPr>
        <sz val="13"/>
        <color rgb="FF000000"/>
        <rFont val="Arial"/>
        <family val="2"/>
      </rPr>
      <t>: transmission from an insertive male partner to a receptive female partner (the "receptive risk")</t>
    </r>
  </si>
  <si>
    <r>
      <t xml:space="preserve">- </t>
    </r>
    <r>
      <rPr>
        <b/>
        <sz val="13"/>
        <color rgb="FF000000"/>
        <rFont val="Arial"/>
        <family val="2"/>
      </rPr>
      <t xml:space="preserve">Vaginal-Penile: </t>
    </r>
    <r>
      <rPr>
        <sz val="13"/>
        <color rgb="FF000000"/>
        <rFont val="Arial"/>
        <family val="2"/>
      </rPr>
      <t>transmission from a receptive female partner to an insertive male partner (the "insertive risk")</t>
    </r>
  </si>
  <si>
    <r>
      <t xml:space="preserve">- </t>
    </r>
    <r>
      <rPr>
        <b/>
        <sz val="13"/>
        <color rgb="FF000000"/>
        <rFont val="Arial"/>
        <family val="2"/>
      </rPr>
      <t>Penile-Anal</t>
    </r>
    <r>
      <rPr>
        <sz val="13"/>
        <color rgb="FF000000"/>
        <rFont val="Arial"/>
        <family val="2"/>
      </rPr>
      <t>: transmission from an insertive male partner to a receptive male partner ( the "receptive risk")</t>
    </r>
  </si>
  <si>
    <r>
      <t xml:space="preserve">- </t>
    </r>
    <r>
      <rPr>
        <b/>
        <sz val="13"/>
        <color rgb="FF000000"/>
        <rFont val="Arial"/>
        <family val="2"/>
      </rPr>
      <t>Anal-Penile</t>
    </r>
    <r>
      <rPr>
        <sz val="13"/>
        <color rgb="FF000000"/>
        <rFont val="Arial"/>
        <family val="2"/>
      </rPr>
      <t>: transmission from a receptive male partner to an insertive male partner (the "insertive risk")</t>
    </r>
  </si>
  <si>
    <t xml:space="preserve">You may manually enter each probability based on your own data, or use our defaults. </t>
  </si>
  <si>
    <t>Please use decimal format; e.g. a 15% transmission probability should be entered as 0.15</t>
  </si>
  <si>
    <t xml:space="preserve">Note: clicking "Set to Defaults" will set all of the cells in that section to default values. If you wish to use some of your own data </t>
  </si>
  <si>
    <t xml:space="preserve">and some defaults, select "Set to Defaults" and then simply replace individuals cells with your own desired inputs. </t>
  </si>
  <si>
    <r>
      <t xml:space="preserve">Infection prevalence </t>
    </r>
    <r>
      <rPr>
        <b/>
        <sz val="13"/>
        <color rgb="FF000000"/>
        <rFont val="Arial"/>
        <family val="2"/>
      </rPr>
      <t>represents the number or proportion of individuals within the user-defined population who are currently infected with each pathogen.</t>
    </r>
  </si>
  <si>
    <r>
      <t xml:space="preserve">In this section, we will convert the diagnoses reported on the </t>
    </r>
    <r>
      <rPr>
        <b/>
        <i/>
        <sz val="13"/>
        <color rgb="FF000000"/>
        <rFont val="Arial"/>
        <family val="2"/>
      </rPr>
      <t xml:space="preserve">Diagnoses </t>
    </r>
    <r>
      <rPr>
        <b/>
        <sz val="13"/>
        <color rgb="FF000000"/>
        <rFont val="Arial"/>
        <family val="2"/>
      </rPr>
      <t xml:space="preserve">worksheet to the prevelance of infections in the user-defined population. </t>
    </r>
  </si>
  <si>
    <t xml:space="preserve">For CT/GC, this takes two steps: </t>
  </si>
  <si>
    <t xml:space="preserve">1. Convert from diagnoses to incidence using the estimated proportion of all cases that get diagnosed. </t>
  </si>
  <si>
    <t xml:space="preserve">2. Convert from incidence to prevalence by dividing incidence by the weighted average of the duration of infection in years. </t>
  </si>
  <si>
    <t xml:space="preserve">For HIV, this also takes two steps: </t>
  </si>
  <si>
    <t xml:space="preserve">2. Convert from incidence to prevalence by multipying by a ratio derived from existing data </t>
  </si>
  <si>
    <t xml:space="preserve">The default conversion factors are estimated from the STI literature, but you may subsitute your own data. </t>
  </si>
  <si>
    <t xml:space="preserve">Please use decimal format: a 65% diagnosis rate should be entered as 0.65. Duration of infection is expressed in years; e.g. for half a year, please enter 0.5. </t>
  </si>
  <si>
    <t xml:space="preserve">Please see the tool manual section D11 for more information. </t>
  </si>
  <si>
    <t xml:space="preserve">SEXUAL </t>
  </si>
  <si>
    <t xml:space="preserve">BEHAVIOR - </t>
  </si>
  <si>
    <t xml:space="preserve">applies across </t>
  </si>
  <si>
    <t>all STIs</t>
  </si>
  <si>
    <t>Expected # of in-school incident cases in next year</t>
  </si>
  <si>
    <t>Expected # of in-school diagnoses in next year</t>
  </si>
  <si>
    <t>Incident in-school cases averted from baseline</t>
  </si>
  <si>
    <t>% of in-school cases averted from baseline</t>
  </si>
  <si>
    <t>Incident Cases</t>
  </si>
  <si>
    <t>Diagnosed Cases</t>
  </si>
  <si>
    <t>In-School Results - Summary:</t>
  </si>
  <si>
    <t>In-School Results - Breakdown by Group:</t>
  </si>
  <si>
    <t xml:space="preserve">Expected Cases in the Next Year: </t>
  </si>
  <si>
    <t>Step 2: Please enter the weighted proportion of males and females by age group in your YRBS dataset.</t>
  </si>
  <si>
    <t>Step 3: Please enter the proportion of adolescents who have had sexual intercourse at least once, by sexual partnering group, in your YRBS dataset.</t>
  </si>
  <si>
    <t>Step 4: Finally, please enter the total adolescent population size by age group (regardless of whether in high school) in your jurisdiction.</t>
  </si>
  <si>
    <t xml:space="preserve">among those who have had sexual intercourse at least once. </t>
  </si>
  <si>
    <t>Include diagnoses among both adolescents in school and out of school.</t>
  </si>
  <si>
    <t xml:space="preserve">This section assists the user to estimate the number of adolescents who have had sexual intercourse at least once, </t>
  </si>
  <si>
    <t xml:space="preserve">by sexual partnering group. "Intercourse" is defined as either vaginal or anal sex. </t>
  </si>
  <si>
    <t>Number of adolescents who have had intercourse at least once:</t>
  </si>
  <si>
    <t>If you are not using YRBS data to define these sub-population sizes, or need assistance calculating the number of adolescents who have had intercourse</t>
  </si>
  <si>
    <t xml:space="preserve">at least once, please use the "Alternative population size calculator" on the Advanced options worksheet, and refer to the tool manual Section D8. </t>
  </si>
  <si>
    <t>Matrix 1: Age of First Intercourse by Current Age, Cells = Weighted Counts of Persons</t>
  </si>
  <si>
    <t xml:space="preserve">Matrix 2: Age of First Intercourse by Current Age, Cells = Average Number of Lifetime Partners </t>
  </si>
  <si>
    <t>A :  Age of First Intercourse by Current Age, Cells = Counts of Persons</t>
  </si>
  <si>
    <t xml:space="preserve">B: Age of First Intercourse by Current Age, Average Number of Lifetime Partners </t>
  </si>
  <si>
    <t>Years Since First Intercourse</t>
  </si>
  <si>
    <t>Please enter the proportion of adolescents who have had sexual intercourse, by sexual partnering group</t>
  </si>
  <si>
    <t xml:space="preserve">C: Average Partners per Year  (B, divided by years since first intercourse </t>
  </si>
  <si>
    <t>F, (A) summed by age of first intercourse</t>
  </si>
  <si>
    <t xml:space="preserve">Please enter the mean number of coital acts (i.e. acts of sex) per partner. </t>
  </si>
  <si>
    <t>Advanced options</t>
  </si>
  <si>
    <t>Full Parameter Spreadsheets</t>
  </si>
  <si>
    <t>Step 1: Please enter the total number of high school attending adolescents (grades 9-12) in your jurisdiction.</t>
  </si>
  <si>
    <t xml:space="preserve">Intervention Scenario: </t>
  </si>
  <si>
    <t>Percent Averted</t>
  </si>
  <si>
    <t>Probability of Condom Use:</t>
  </si>
  <si>
    <t xml:space="preserve">Population Sizes: </t>
  </si>
  <si>
    <t>Diagnoses:</t>
  </si>
  <si>
    <t>Coital Frequency Per Partner:</t>
  </si>
  <si>
    <t>Number Of New Partners Per Year:</t>
  </si>
  <si>
    <t>rec. anal</t>
  </si>
  <si>
    <t>ins. anal</t>
  </si>
  <si>
    <t xml:space="preserve">Coital Frequency Per Partner: </t>
  </si>
  <si>
    <t>Probability of Condom Use per Act:</t>
  </si>
  <si>
    <t>----------------------------------------------------------------------------</t>
  </si>
  <si>
    <t xml:space="preserve">Percent Averted </t>
  </si>
  <si>
    <t xml:space="preserve">Select the models you would like to export to PDF. </t>
  </si>
  <si>
    <t>The baseline model and parameter list are automatically included for comparison.</t>
  </si>
  <si>
    <t>The section also contains a cell to indicate the proportion of adolescent MSM's partners who are females.</t>
  </si>
  <si>
    <t xml:space="preserve">NOTE: This tool requires the use of Microsoft Windows. </t>
  </si>
  <si>
    <t>ins. vag.</t>
  </si>
  <si>
    <t>rec. vag.</t>
  </si>
  <si>
    <t>(ins vag = insertive vaginal-penile sex; rec vag = receptive vaginal-penile sex; ins anal = insertive anal sex; rec anal = receptive anal sex)</t>
  </si>
  <si>
    <t xml:space="preserve"> please refer to the tool manual Section D2.</t>
  </si>
  <si>
    <t>Sexual behavior……………………………………………</t>
  </si>
  <si>
    <t>Population sizes……………………………………………</t>
  </si>
  <si>
    <t>Diagnoses …...…………………………………………….</t>
  </si>
  <si>
    <t>Interventions……………………………………………….</t>
  </si>
  <si>
    <t>Results………………………………………………………</t>
  </si>
  <si>
    <t>Export……………………………………………………….</t>
  </si>
  <si>
    <t>Alternative pop. size calculator……………….</t>
  </si>
  <si>
    <t>New partners per year calculator…………….</t>
  </si>
  <si>
    <t>Transmissibility………………………………….</t>
  </si>
  <si>
    <t>Infection prevalence among partners………..</t>
  </si>
  <si>
    <t>Baseline Params ………………………………..</t>
  </si>
  <si>
    <t>Model 1 Params …………………………………</t>
  </si>
  <si>
    <t>Model 2 Params …………………………………</t>
  </si>
  <si>
    <t>Model 3 Params …………………………………</t>
  </si>
  <si>
    <t>Model 4 Params …………………………………</t>
  </si>
  <si>
    <t xml:space="preserve">              Note: this cell updates automatically based on inputs above.</t>
  </si>
  <si>
    <t>Comparison Model 1</t>
  </si>
  <si>
    <t>Comparison Model 2</t>
  </si>
  <si>
    <t>Comparison Model 3</t>
  </si>
  <si>
    <t>Comparison Model 4</t>
  </si>
  <si>
    <t xml:space="preserve"> Note: this tool requires Microsoft Windows.</t>
  </si>
  <si>
    <t>If asked to enable content, macros, and/or editing, select 'yes'.</t>
  </si>
  <si>
    <t xml:space="preserve"> See the manual section D0 for more information.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</si>
</sst>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2">
    <numFmt numFmtId="43" formatCode="_(* #,##0.00_);_(* \(#,##0.00\);_(* &quot;-&quot;??_);_(@_)"/>
    <numFmt numFmtId="164" formatCode="_(* #,##0_);_(* \(#,##0\);_(* &quot;-&quot;??_);_(@_)"/>
    <numFmt numFmtId="165" formatCode="0.0%"/>
    <numFmt numFmtId="166" formatCode="0.0"/>
    <numFmt numFmtId="167" formatCode="###0.00"/>
    <numFmt numFmtId="168" formatCode="0.000"/>
    <numFmt numFmtId="169" formatCode="0.0000"/>
    <numFmt numFmtId="170" formatCode="_(* #,##0.0000000_);_(* \(#,##0.0000000\);_(* &quot;-&quot;??_);_(@_)"/>
    <numFmt numFmtId="171" formatCode="_(* #,##0.0000_);_(* \(#,##0.0000\);_(* &quot;-&quot;??_);_(@_)"/>
    <numFmt numFmtId="172" formatCode="_(* #,##0.00000_);_(* \(#,##0.00000\);_(* &quot;-&quot;??_);_(@_)"/>
    <numFmt numFmtId="173" formatCode="0.000000000000000%"/>
    <numFmt numFmtId="174" formatCode="_(* #,##0.000000_);_(* \(#,##0.000000\);_(* &quot;-&quot;??_);_(@_)"/>
  </numFmts>
  <fonts count="50">
    <font>
      <sz val="11"/>
      <color theme="1"/>
      <name val="Calibri"/>
      <family val="2"/>
      <scheme val="minor"/>
    </font>
    <font>
      <sz val="11"/>
      <color theme="1"/>
      <name val="Calibri"/>
      <family val="2"/>
      <scheme val="minor"/>
    </font>
    <font>
      <sz val="11"/>
      <color rgb="FFFF0000"/>
      <name val="Calibri"/>
      <family val="2"/>
      <scheme val="minor"/>
    </font>
    <font>
      <sz val="11"/>
      <color theme="1"/>
      <name val="Avenir Next Cyr W04 Demi"/>
      <family val="2"/>
    </font>
    <font>
      <b/>
      <sz val="11"/>
      <color theme="1"/>
      <name val="Avenir Next Cyr W04 Demi"/>
      <family val="2"/>
    </font>
    <font>
      <i/>
      <sz val="11"/>
      <color theme="1"/>
      <name val="Avenir Next Cyr W04 Demi"/>
      <family val="2"/>
    </font>
    <font>
      <sz val="20"/>
      <color theme="1"/>
      <name val="Avenir Next Cyr W04 Demi"/>
      <family val="2"/>
    </font>
    <font>
      <sz val="13"/>
      <color theme="1"/>
      <name val="Avenir Next Cyr W04 Demi"/>
      <family val="2"/>
    </font>
    <font>
      <sz val="14"/>
      <color theme="1"/>
      <name val="Avenir Next Cyr W04 Demi"/>
      <family val="2"/>
    </font>
    <font>
      <sz val="15"/>
      <color theme="1"/>
      <name val="Avenir Next Cyr W04 Demi"/>
      <family val="2"/>
    </font>
    <font>
      <sz val="10"/>
      <name val="Arial"/>
      <family val="2"/>
    </font>
    <font>
      <b/>
      <sz val="20"/>
      <color theme="1"/>
      <name val="Arial"/>
      <family val="2"/>
    </font>
    <font>
      <sz val="11"/>
      <color theme="1"/>
      <name val="Arial"/>
      <family val="2"/>
    </font>
    <font>
      <b/>
      <sz val="12"/>
      <color theme="1"/>
      <name val="Arial"/>
      <family val="2"/>
    </font>
    <font>
      <b/>
      <i/>
      <sz val="12"/>
      <color theme="1"/>
      <name val="Arial"/>
      <family val="2"/>
    </font>
    <font>
      <b/>
      <sz val="11"/>
      <color theme="1"/>
      <name val="Arial"/>
      <family val="2"/>
    </font>
    <font>
      <b/>
      <sz val="13"/>
      <color theme="1"/>
      <name val="Arial"/>
      <family val="2"/>
    </font>
    <font>
      <b/>
      <i/>
      <sz val="11"/>
      <color theme="1"/>
      <name val="Arial"/>
      <family val="2"/>
    </font>
    <font>
      <b/>
      <sz val="10"/>
      <color theme="1"/>
      <name val="Arial"/>
      <family val="2"/>
    </font>
    <font>
      <b/>
      <sz val="11"/>
      <color rgb="FFFF0000"/>
      <name val="Arial"/>
      <family val="2"/>
    </font>
    <font>
      <b/>
      <sz val="14"/>
      <color theme="1"/>
      <name val="Arial"/>
      <family val="2"/>
    </font>
    <font>
      <b/>
      <sz val="11"/>
      <name val="Arial"/>
      <family val="2"/>
    </font>
    <font>
      <b/>
      <sz val="15"/>
      <color theme="1"/>
      <name val="Arial"/>
      <family val="2"/>
    </font>
    <font>
      <sz val="9"/>
      <color theme="1"/>
      <name val="Arial"/>
      <family val="2"/>
    </font>
    <font>
      <b/>
      <sz val="8.5"/>
      <color theme="1"/>
      <name val="Arial"/>
      <family val="2"/>
    </font>
    <font>
      <b/>
      <sz val="8.5"/>
      <name val="Arial"/>
      <family val="2"/>
    </font>
    <font>
      <b/>
      <sz val="11"/>
      <color indexed="60"/>
      <name val="Arial"/>
      <family val="2"/>
    </font>
    <font>
      <sz val="11"/>
      <color rgb="FFC00000"/>
      <name val="Arial"/>
      <family val="2"/>
    </font>
    <font>
      <b/>
      <sz val="11"/>
      <color rgb="FFC00000"/>
      <name val="Arial"/>
      <family val="2"/>
    </font>
    <font>
      <b/>
      <sz val="11"/>
      <color rgb="FF5597D3"/>
      <name val="Arial"/>
      <family val="2"/>
    </font>
    <font>
      <b/>
      <sz val="11"/>
      <color theme="1"/>
      <name val="Calibri"/>
      <family val="2"/>
      <scheme val="minor"/>
    </font>
    <font>
      <b/>
      <sz val="12"/>
      <color rgb="FF640000"/>
      <name val="Arial"/>
      <family val="2"/>
    </font>
    <font>
      <b/>
      <i/>
      <sz val="13"/>
      <color theme="1"/>
      <name val="Arial"/>
      <family val="2"/>
    </font>
    <font>
      <b/>
      <sz val="10"/>
      <name val="Arial"/>
      <family val="2"/>
    </font>
    <font>
      <b/>
      <sz val="25"/>
      <color theme="1"/>
      <name val="Arial"/>
      <family val="2"/>
    </font>
    <font>
      <b/>
      <sz val="13"/>
      <color rgb="FF000000"/>
      <name val="Arial"/>
      <family val="2"/>
    </font>
    <font>
      <b/>
      <sz val="12"/>
      <color rgb="FF000000"/>
      <name val="Arial"/>
      <family val="2"/>
    </font>
    <font>
      <sz val="12"/>
      <color rgb="FF000000"/>
      <name val="Arial"/>
      <family val="2"/>
    </font>
    <font>
      <b/>
      <i/>
      <sz val="12"/>
      <color rgb="FF000000"/>
      <name val="Arial"/>
      <family val="2"/>
    </font>
    <font>
      <b/>
      <sz val="11"/>
      <color rgb="FF000000"/>
      <name val="Arial"/>
      <family val="2"/>
    </font>
    <font>
      <b/>
      <u/>
      <sz val="12"/>
      <color rgb="FF000000"/>
      <name val="Arial"/>
      <family val="2"/>
    </font>
    <font>
      <sz val="13"/>
      <color rgb="FF000000"/>
      <name val="Arial"/>
      <family val="2"/>
    </font>
    <font>
      <sz val="13"/>
      <color rgb="FF000000"/>
      <name val="Calibri"/>
      <family val="2"/>
      <scheme val="minor"/>
    </font>
    <font>
      <b/>
      <sz val="10.5"/>
      <color rgb="FF000000"/>
      <name val="Calibri"/>
      <family val="2"/>
      <scheme val="minor"/>
    </font>
    <font>
      <b/>
      <sz val="20"/>
      <color rgb="FF000000"/>
      <name val="Arial"/>
      <family val="2"/>
    </font>
    <font>
      <b/>
      <i/>
      <sz val="13"/>
      <color rgb="FF000000"/>
      <name val="Arial"/>
      <family val="2"/>
    </font>
    <font>
      <b/>
      <u/>
      <sz val="11"/>
      <color theme="1"/>
      <name val="Arial"/>
      <family val="2"/>
    </font>
    <font>
      <sz val="10"/>
      <color theme="1"/>
      <name val="Arial"/>
      <family val="2"/>
    </font>
    <font>
      <b/>
      <sz val="10"/>
      <color rgb="FFFF0000"/>
      <name val="Arial"/>
      <family val="2"/>
    </font>
    <font>
      <i/>
      <sz val="10"/>
      <color theme="1"/>
      <name val="Arial"/>
      <family val="2"/>
    </font>
  </fonts>
  <fills count="21">
    <fill>
      <patternFill patternType="none"/>
    </fill>
    <fill>
      <patternFill patternType="gray125"/>
    </fill>
    <fill>
      <patternFill patternType="solid">
        <fgColor theme="0" tint="-4.9989318521683403E-2"/>
        <bgColor indexed="64"/>
      </patternFill>
    </fill>
    <fill>
      <patternFill patternType="solid">
        <fgColor theme="0" tint="-0.249977111117893"/>
        <bgColor indexed="64"/>
      </patternFill>
    </fill>
    <fill>
      <patternFill patternType="solid">
        <fgColor theme="0" tint="-0.14996795556505021"/>
        <bgColor indexed="64"/>
      </patternFill>
    </fill>
    <fill>
      <patternFill patternType="solid">
        <fgColor theme="0" tint="-0.24994659260841701"/>
        <bgColor indexed="64"/>
      </patternFill>
    </fill>
    <fill>
      <patternFill patternType="solid">
        <fgColor theme="9" tint="0.59999389629810485"/>
        <bgColor indexed="64"/>
      </patternFill>
    </fill>
    <fill>
      <patternFill patternType="solid">
        <fgColor theme="2"/>
        <bgColor indexed="64"/>
      </patternFill>
    </fill>
    <fill>
      <patternFill patternType="solid">
        <fgColor theme="4" tint="0.39997558519241921"/>
        <bgColor indexed="64"/>
      </patternFill>
    </fill>
    <fill>
      <patternFill patternType="solid">
        <fgColor theme="0" tint="-0.14999847407452621"/>
        <bgColor indexed="64"/>
      </patternFill>
    </fill>
    <fill>
      <patternFill patternType="solid">
        <fgColor theme="5" tint="0.39997558519241921"/>
        <bgColor indexed="64"/>
      </patternFill>
    </fill>
    <fill>
      <patternFill patternType="solid">
        <fgColor theme="7" tint="0.79998168889431442"/>
        <bgColor indexed="64"/>
      </patternFill>
    </fill>
    <fill>
      <patternFill patternType="solid">
        <fgColor rgb="FFC27492"/>
        <bgColor indexed="64"/>
      </patternFill>
    </fill>
    <fill>
      <patternFill patternType="solid">
        <fgColor theme="0"/>
        <bgColor indexed="64"/>
      </patternFill>
    </fill>
    <fill>
      <patternFill patternType="solid">
        <fgColor theme="5" tint="-0.249977111117893"/>
        <bgColor indexed="64"/>
      </patternFill>
    </fill>
    <fill>
      <patternFill patternType="solid">
        <fgColor theme="6" tint="-0.249977111117893"/>
        <bgColor indexed="64"/>
      </patternFill>
    </fill>
    <fill>
      <patternFill patternType="solid">
        <fgColor rgb="FF5597D3"/>
        <bgColor indexed="64"/>
      </patternFill>
    </fill>
    <fill>
      <patternFill patternType="solid">
        <fgColor theme="4"/>
        <bgColor indexed="64"/>
      </patternFill>
    </fill>
    <fill>
      <patternFill patternType="solid">
        <fgColor theme="0" tint="-0.499984740745262"/>
        <bgColor indexed="64"/>
      </patternFill>
    </fill>
    <fill>
      <patternFill patternType="solid">
        <fgColor theme="5"/>
        <bgColor indexed="64"/>
      </patternFill>
    </fill>
    <fill>
      <patternFill patternType="solid">
        <fgColor theme="0" tint="-0.34998626667073579"/>
        <bgColor indexed="64"/>
      </patternFill>
    </fill>
  </fills>
  <borders count="68">
    <border>
      <left/>
      <right/>
      <top/>
      <bottom/>
      <diagonal/>
    </border>
    <border>
      <left style="thin">
        <color auto="1"/>
      </left>
      <right style="thin">
        <color auto="1"/>
      </right>
      <top style="thin">
        <color auto="1"/>
      </top>
      <bottom style="thin">
        <color auto="1"/>
      </bottom>
      <diagonal/>
    </border>
    <border>
      <left/>
      <right style="thin">
        <color auto="1"/>
      </right>
      <top/>
      <bottom style="thin">
        <color auto="1"/>
      </bottom>
      <diagonal/>
    </border>
    <border>
      <left/>
      <right style="thin">
        <color auto="1"/>
      </right>
      <top/>
      <bottom/>
      <diagonal/>
    </border>
    <border>
      <left/>
      <right/>
      <top/>
      <bottom style="thin">
        <color auto="1"/>
      </bottom>
      <diagonal/>
    </border>
    <border>
      <left/>
      <right/>
      <top style="thin">
        <color auto="1"/>
      </top>
      <bottom/>
      <diagonal/>
    </border>
    <border>
      <left style="thin">
        <color auto="1"/>
      </left>
      <right style="thin">
        <color auto="1"/>
      </right>
      <top style="thin">
        <color auto="1"/>
      </top>
      <bottom/>
      <diagonal/>
    </border>
    <border>
      <left/>
      <right/>
      <top style="thin">
        <color auto="1"/>
      </top>
      <bottom style="thin">
        <color auto="1"/>
      </bottom>
      <diagonal/>
    </border>
    <border>
      <left/>
      <right/>
      <top/>
      <bottom style="double">
        <color auto="1"/>
      </bottom>
      <diagonal/>
    </border>
    <border>
      <left/>
      <right/>
      <top/>
      <bottom style="medium">
        <color indexed="64"/>
      </bottom>
      <diagonal/>
    </border>
    <border>
      <left/>
      <right style="thin">
        <color indexed="64"/>
      </right>
      <top style="medium">
        <color indexed="64"/>
      </top>
      <bottom style="medium">
        <color indexed="64"/>
      </bottom>
      <diagonal/>
    </border>
    <border>
      <left style="thin">
        <color indexed="64"/>
      </left>
      <right/>
      <top/>
      <bottom/>
      <diagonal/>
    </border>
    <border>
      <left style="thin">
        <color indexed="64"/>
      </left>
      <right/>
      <top style="medium">
        <color indexed="64"/>
      </top>
      <bottom/>
      <diagonal/>
    </border>
    <border>
      <left/>
      <right/>
      <top style="medium">
        <color indexed="64"/>
      </top>
      <bottom/>
      <diagonal/>
    </border>
    <border>
      <left/>
      <right style="thin">
        <color indexed="64"/>
      </right>
      <top/>
      <bottom style="medium">
        <color indexed="64"/>
      </bottom>
      <diagonal/>
    </border>
    <border>
      <left style="thin">
        <color indexed="64"/>
      </left>
      <right/>
      <top/>
      <bottom style="medium">
        <color indexed="64"/>
      </bottom>
      <diagonal/>
    </border>
    <border>
      <left/>
      <right style="thin">
        <color indexed="64"/>
      </right>
      <top style="medium">
        <color indexed="64"/>
      </top>
      <bottom/>
      <diagonal/>
    </border>
    <border>
      <left style="thin">
        <color auto="1"/>
      </left>
      <right/>
      <top style="medium">
        <color indexed="64"/>
      </top>
      <bottom style="thin">
        <color auto="1"/>
      </bottom>
      <diagonal/>
    </border>
    <border>
      <left/>
      <right/>
      <top style="medium">
        <color indexed="64"/>
      </top>
      <bottom style="thin">
        <color auto="1"/>
      </bottom>
      <diagonal/>
    </border>
    <border>
      <left/>
      <right style="thin">
        <color indexed="64"/>
      </right>
      <top style="medium">
        <color indexed="64"/>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right style="medium">
        <color indexed="64"/>
      </right>
      <top style="medium">
        <color indexed="64"/>
      </top>
      <bottom style="thin">
        <color auto="1"/>
      </bottom>
      <diagonal/>
    </border>
    <border>
      <left/>
      <right style="medium">
        <color indexed="64"/>
      </right>
      <top style="thin">
        <color auto="1"/>
      </top>
      <bottom style="thin">
        <color auto="1"/>
      </bottom>
      <diagonal/>
    </border>
    <border>
      <left/>
      <right style="medium">
        <color indexed="64"/>
      </right>
      <top style="thin">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diagonal/>
    </border>
    <border>
      <left style="thin">
        <color indexed="64"/>
      </left>
      <right style="medium">
        <color indexed="64"/>
      </right>
      <top/>
      <bottom style="medium">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medium">
        <color indexed="64"/>
      </left>
      <right/>
      <top style="medium">
        <color indexed="64"/>
      </top>
      <bottom style="medium">
        <color indexed="64"/>
      </bottom>
      <diagonal/>
    </border>
    <border>
      <left style="thin">
        <color indexed="64"/>
      </left>
      <right/>
      <top style="medium">
        <color indexed="64"/>
      </top>
      <bottom style="medium">
        <color indexed="64"/>
      </bottom>
      <diagonal/>
    </border>
    <border>
      <left/>
      <right/>
      <top style="medium">
        <color indexed="64"/>
      </top>
      <bottom style="medium">
        <color indexed="64"/>
      </bottom>
      <diagonal/>
    </border>
    <border>
      <left/>
      <right style="thick">
        <color indexed="64"/>
      </right>
      <top/>
      <bottom/>
      <diagonal/>
    </border>
    <border>
      <left/>
      <right style="thick">
        <color indexed="64"/>
      </right>
      <top/>
      <bottom style="medium">
        <color indexed="64"/>
      </bottom>
      <diagonal/>
    </border>
    <border>
      <left style="thick">
        <color indexed="64"/>
      </left>
      <right/>
      <top/>
      <bottom/>
      <diagonal/>
    </border>
    <border>
      <left style="thick">
        <color auto="1"/>
      </left>
      <right/>
      <top/>
      <bottom style="medium">
        <color indexed="64"/>
      </bottom>
      <diagonal/>
    </border>
    <border>
      <left style="thick">
        <color indexed="64"/>
      </left>
      <right/>
      <top style="medium">
        <color indexed="64"/>
      </top>
      <bottom/>
      <diagonal/>
    </border>
    <border>
      <left/>
      <right style="thick">
        <color indexed="64"/>
      </right>
      <top style="medium">
        <color indexed="64"/>
      </top>
      <bottom/>
      <diagonal/>
    </border>
    <border>
      <left/>
      <right/>
      <top/>
      <bottom style="dashDot">
        <color indexed="64"/>
      </bottom>
      <diagonal/>
    </border>
    <border>
      <left/>
      <right/>
      <top style="dashDot">
        <color indexed="64"/>
      </top>
      <bottom/>
      <diagonal/>
    </border>
    <border>
      <left/>
      <right style="thin">
        <color auto="1"/>
      </right>
      <top/>
      <bottom style="hair">
        <color auto="1"/>
      </bottom>
      <diagonal/>
    </border>
    <border>
      <left/>
      <right/>
      <top/>
      <bottom style="hair">
        <color auto="1"/>
      </bottom>
      <diagonal/>
    </border>
    <border>
      <left/>
      <right style="thin">
        <color auto="1"/>
      </right>
      <top style="hair">
        <color auto="1"/>
      </top>
      <bottom style="hair">
        <color auto="1"/>
      </bottom>
      <diagonal/>
    </border>
    <border>
      <left/>
      <right/>
      <top style="hair">
        <color auto="1"/>
      </top>
      <bottom style="hair">
        <color auto="1"/>
      </bottom>
      <diagonal/>
    </border>
    <border>
      <left style="thin">
        <color indexed="64"/>
      </left>
      <right/>
      <top/>
      <bottom style="hair">
        <color auto="1"/>
      </bottom>
      <diagonal/>
    </border>
    <border>
      <left/>
      <right/>
      <top style="hair">
        <color auto="1"/>
      </top>
      <bottom/>
      <diagonal/>
    </border>
    <border>
      <left/>
      <right style="thin">
        <color auto="1"/>
      </right>
      <top style="hair">
        <color auto="1"/>
      </top>
      <bottom/>
      <diagonal/>
    </border>
    <border>
      <left style="thin">
        <color indexed="64"/>
      </left>
      <right/>
      <top style="hair">
        <color auto="1"/>
      </top>
      <bottom/>
      <diagonal/>
    </border>
    <border>
      <left style="thin">
        <color indexed="64"/>
      </left>
      <right style="thin">
        <color indexed="64"/>
      </right>
      <top style="dashDot">
        <color indexed="64"/>
      </top>
      <bottom/>
      <diagonal/>
    </border>
    <border>
      <left style="thin">
        <color indexed="64"/>
      </left>
      <right style="thin">
        <color indexed="64"/>
      </right>
      <top/>
      <bottom/>
      <diagonal/>
    </border>
    <border>
      <left/>
      <right style="thin">
        <color indexed="64"/>
      </right>
      <top/>
      <bottom style="dashDot">
        <color indexed="64"/>
      </bottom>
      <diagonal/>
    </border>
    <border>
      <left style="thin">
        <color indexed="64"/>
      </left>
      <right/>
      <top/>
      <bottom style="dashDot">
        <color indexed="64"/>
      </bottom>
      <diagonal/>
    </border>
    <border>
      <left/>
      <right style="thin">
        <color indexed="64"/>
      </right>
      <top style="dashDot">
        <color indexed="64"/>
      </top>
      <bottom/>
      <diagonal/>
    </border>
    <border>
      <left style="thin">
        <color indexed="64"/>
      </left>
      <right/>
      <top style="dashDot">
        <color indexed="64"/>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style="thin">
        <color indexed="64"/>
      </left>
      <right style="thin">
        <color indexed="64"/>
      </right>
      <top/>
      <bottom style="thin">
        <color indexed="64"/>
      </bottom>
      <diagonal/>
    </border>
    <border>
      <left style="thick">
        <color indexed="64"/>
      </left>
      <right style="medium">
        <color indexed="64"/>
      </right>
      <top/>
      <bottom/>
      <diagonal/>
    </border>
  </borders>
  <cellStyleXfs count="4">
    <xf numFmtId="0" fontId="0" fillId="0" borderId="0"/>
    <xf numFmtId="9" fontId="1" fillId="0" borderId="0" applyFont="0" applyFill="0" applyBorder="0" applyAlignment="0" applyProtection="0"/>
    <xf numFmtId="43" fontId="1" fillId="0" borderId="0" applyFont="0" applyFill="0" applyBorder="0" applyAlignment="0" applyProtection="0"/>
    <xf numFmtId="0" fontId="10" fillId="0" borderId="0"/>
  </cellStyleXfs>
  <cellXfs count="744">
    <xf numFmtId="0" fontId="0" fillId="0" borderId="0" xfId="0"/>
    <xf numFmtId="0" fontId="0" fillId="3" borderId="0" xfId="0" applyFill="1"/>
    <xf numFmtId="0" fontId="0" fillId="3" borderId="0" xfId="0" applyFill="1" applyAlignment="1">
      <alignment wrapText="1"/>
    </xf>
    <xf numFmtId="0" fontId="3" fillId="3" borderId="0" xfId="0" applyFont="1" applyFill="1"/>
    <xf numFmtId="0" fontId="4" fillId="3" borderId="0" xfId="0" applyFont="1" applyFill="1"/>
    <xf numFmtId="0" fontId="3" fillId="3" borderId="0" xfId="0" applyFont="1" applyFill="1" applyAlignment="1">
      <alignment horizontal="center"/>
    </xf>
    <xf numFmtId="2" fontId="3" fillId="3" borderId="0" xfId="0" applyNumberFormat="1" applyFont="1" applyFill="1" applyBorder="1"/>
    <xf numFmtId="0" fontId="2" fillId="3" borderId="0" xfId="0" applyFont="1" applyFill="1"/>
    <xf numFmtId="0" fontId="3" fillId="3" borderId="0" xfId="0" applyFont="1" applyFill="1" applyAlignment="1">
      <alignment horizontal="center" wrapText="1"/>
    </xf>
    <xf numFmtId="0" fontId="3" fillId="0" borderId="1" xfId="0" applyFont="1" applyFill="1" applyBorder="1"/>
    <xf numFmtId="0" fontId="3" fillId="3" borderId="4" xfId="0" applyFont="1" applyFill="1" applyBorder="1" applyAlignment="1">
      <alignment horizontal="center" wrapText="1"/>
    </xf>
    <xf numFmtId="0" fontId="3" fillId="3" borderId="0" xfId="0" applyFont="1" applyFill="1" applyBorder="1" applyAlignment="1">
      <alignment horizontal="center" vertical="center" wrapText="1"/>
    </xf>
    <xf numFmtId="0" fontId="6" fillId="3" borderId="0" xfId="0" applyFont="1" applyFill="1"/>
    <xf numFmtId="0" fontId="3" fillId="0" borderId="1" xfId="0" applyNumberFormat="1" applyFont="1" applyFill="1" applyBorder="1"/>
    <xf numFmtId="0" fontId="3" fillId="3" borderId="0" xfId="0" applyFont="1" applyFill="1" applyBorder="1"/>
    <xf numFmtId="0" fontId="3" fillId="3" borderId="4" xfId="0" applyFont="1" applyFill="1" applyBorder="1"/>
    <xf numFmtId="0" fontId="0" fillId="3" borderId="4" xfId="0" applyFill="1" applyBorder="1"/>
    <xf numFmtId="0" fontId="3" fillId="3" borderId="4" xfId="0" applyFont="1" applyFill="1" applyBorder="1" applyAlignment="1">
      <alignment horizontal="center" vertical="center"/>
    </xf>
    <xf numFmtId="0" fontId="3" fillId="3" borderId="0" xfId="0" applyFont="1" applyFill="1" applyBorder="1" applyAlignment="1">
      <alignment horizontal="center" vertical="center"/>
    </xf>
    <xf numFmtId="0" fontId="8" fillId="3" borderId="4" xfId="0" applyFont="1" applyFill="1" applyBorder="1"/>
    <xf numFmtId="0" fontId="3" fillId="5" borderId="0" xfId="0" applyFont="1" applyFill="1" applyBorder="1"/>
    <xf numFmtId="0" fontId="3" fillId="3" borderId="0" xfId="0" applyFont="1" applyFill="1" applyBorder="1" applyAlignment="1">
      <alignment horizontal="center" wrapText="1"/>
    </xf>
    <xf numFmtId="0" fontId="3" fillId="0" borderId="6" xfId="0" applyFont="1" applyFill="1" applyBorder="1"/>
    <xf numFmtId="0" fontId="3" fillId="3" borderId="5" xfId="0" applyFont="1" applyFill="1" applyBorder="1" applyAlignment="1">
      <alignment horizontal="center" vertical="center" wrapText="1"/>
    </xf>
    <xf numFmtId="0" fontId="3" fillId="3" borderId="5" xfId="0" applyNumberFormat="1" applyFont="1" applyFill="1" applyBorder="1"/>
    <xf numFmtId="0" fontId="3" fillId="3" borderId="5" xfId="0" applyFont="1" applyFill="1" applyBorder="1"/>
    <xf numFmtId="9" fontId="3" fillId="3" borderId="0" xfId="1" applyFont="1" applyFill="1" applyBorder="1"/>
    <xf numFmtId="0" fontId="3" fillId="3" borderId="0" xfId="0" applyFont="1" applyFill="1" applyAlignment="1">
      <alignment horizontal="right"/>
    </xf>
    <xf numFmtId="0" fontId="3" fillId="3" borderId="0" xfId="0" applyFont="1" applyFill="1" applyBorder="1" applyAlignment="1">
      <alignment horizontal="right"/>
    </xf>
    <xf numFmtId="9" fontId="3" fillId="3" borderId="0" xfId="1" applyFont="1" applyFill="1" applyBorder="1" applyAlignment="1">
      <alignment horizontal="right"/>
    </xf>
    <xf numFmtId="0" fontId="3" fillId="3" borderId="7" xfId="0" applyNumberFormat="1" applyFont="1" applyFill="1" applyBorder="1"/>
    <xf numFmtId="0" fontId="3" fillId="3" borderId="7" xfId="0" applyFont="1" applyFill="1" applyBorder="1"/>
    <xf numFmtId="0" fontId="0" fillId="3" borderId="0" xfId="0" applyFill="1" applyAlignment="1">
      <alignment horizontal="center"/>
    </xf>
    <xf numFmtId="0" fontId="3" fillId="3" borderId="0" xfId="0" applyFont="1" applyFill="1" applyAlignment="1">
      <alignment horizontal="right" wrapText="1"/>
    </xf>
    <xf numFmtId="0" fontId="3" fillId="3" borderId="0" xfId="0" applyNumberFormat="1" applyFont="1" applyFill="1" applyBorder="1"/>
    <xf numFmtId="0" fontId="5" fillId="3" borderId="0" xfId="0" applyFont="1" applyFill="1"/>
    <xf numFmtId="0" fontId="3" fillId="3" borderId="8" xfId="0" applyFont="1" applyFill="1" applyBorder="1"/>
    <xf numFmtId="0" fontId="0" fillId="3" borderId="8" xfId="0" applyFill="1" applyBorder="1"/>
    <xf numFmtId="0" fontId="4" fillId="3" borderId="8" xfId="0" applyFont="1" applyFill="1" applyBorder="1"/>
    <xf numFmtId="9" fontId="3" fillId="3" borderId="8" xfId="1" applyFont="1" applyFill="1" applyBorder="1" applyAlignment="1">
      <alignment horizontal="right"/>
    </xf>
    <xf numFmtId="0" fontId="3" fillId="3" borderId="8" xfId="0" applyNumberFormat="1" applyFont="1" applyFill="1" applyBorder="1"/>
    <xf numFmtId="0" fontId="3" fillId="11" borderId="1" xfId="0" applyNumberFormat="1" applyFont="1" applyFill="1" applyBorder="1"/>
    <xf numFmtId="0" fontId="3" fillId="11" borderId="1" xfId="0" applyFont="1" applyFill="1" applyBorder="1"/>
    <xf numFmtId="2" fontId="3" fillId="2" borderId="1" xfId="1" applyNumberFormat="1" applyFont="1" applyFill="1" applyBorder="1"/>
    <xf numFmtId="2" fontId="3" fillId="3" borderId="7" xfId="1" applyNumberFormat="1" applyFont="1" applyFill="1" applyBorder="1"/>
    <xf numFmtId="0" fontId="9" fillId="3" borderId="0" xfId="0" applyFont="1" applyFill="1"/>
    <xf numFmtId="0" fontId="12" fillId="3" borderId="0" xfId="0" applyFont="1" applyFill="1"/>
    <xf numFmtId="0" fontId="13" fillId="3" borderId="0" xfId="0" applyFont="1" applyFill="1" applyAlignment="1">
      <alignment wrapText="1"/>
    </xf>
    <xf numFmtId="0" fontId="15" fillId="3" borderId="0" xfId="0" applyFont="1" applyFill="1"/>
    <xf numFmtId="0" fontId="13" fillId="3" borderId="0" xfId="0" applyFont="1" applyFill="1"/>
    <xf numFmtId="0" fontId="16" fillId="3" borderId="0" xfId="0" applyFont="1" applyFill="1" applyAlignment="1">
      <alignment horizontal="left" vertical="center"/>
    </xf>
    <xf numFmtId="0" fontId="15" fillId="3" borderId="0" xfId="0" applyFont="1" applyFill="1" applyAlignment="1">
      <alignment horizontal="left"/>
    </xf>
    <xf numFmtId="0" fontId="16" fillId="3" borderId="0" xfId="0" applyFont="1" applyFill="1" applyAlignment="1">
      <alignment horizontal="left"/>
    </xf>
    <xf numFmtId="0" fontId="16" fillId="3" borderId="0" xfId="0" applyFont="1" applyFill="1"/>
    <xf numFmtId="0" fontId="11" fillId="3" borderId="0" xfId="0" applyFont="1" applyFill="1"/>
    <xf numFmtId="0" fontId="15" fillId="3" borderId="0" xfId="0" applyFont="1" applyFill="1" applyAlignment="1">
      <alignment horizontal="center" vertical="center"/>
    </xf>
    <xf numFmtId="0" fontId="15" fillId="3" borderId="0" xfId="0" applyFont="1" applyFill="1" applyAlignment="1"/>
    <xf numFmtId="0" fontId="16" fillId="3" borderId="0" xfId="0" applyFont="1" applyFill="1" applyAlignment="1">
      <alignment wrapText="1"/>
    </xf>
    <xf numFmtId="0" fontId="15" fillId="3" borderId="0" xfId="0" applyFont="1" applyFill="1" applyAlignment="1">
      <alignment horizontal="center"/>
    </xf>
    <xf numFmtId="0" fontId="17" fillId="3" borderId="0" xfId="0" applyFont="1" applyFill="1" applyAlignment="1">
      <alignment horizontal="center"/>
    </xf>
    <xf numFmtId="164" fontId="15" fillId="13" borderId="1" xfId="2" applyNumberFormat="1" applyFont="1" applyFill="1" applyBorder="1"/>
    <xf numFmtId="0" fontId="15" fillId="3" borderId="0" xfId="0" applyFont="1" applyFill="1" applyBorder="1"/>
    <xf numFmtId="0" fontId="15" fillId="3" borderId="0" xfId="0" applyFont="1" applyFill="1" applyAlignment="1">
      <alignment wrapText="1"/>
    </xf>
    <xf numFmtId="0" fontId="15" fillId="3" borderId="0" xfId="0" applyFont="1" applyFill="1" applyAlignment="1">
      <alignment horizontal="right"/>
    </xf>
    <xf numFmtId="0" fontId="15" fillId="0" borderId="1" xfId="0" applyFont="1" applyFill="1" applyBorder="1"/>
    <xf numFmtId="0" fontId="15" fillId="3" borderId="0" xfId="0" applyFont="1" applyFill="1" applyAlignment="1">
      <alignment horizontal="left" wrapText="1"/>
    </xf>
    <xf numFmtId="0" fontId="15" fillId="3" borderId="0" xfId="0" applyFont="1" applyFill="1" applyBorder="1" applyAlignment="1">
      <alignment horizontal="left"/>
    </xf>
    <xf numFmtId="0" fontId="15" fillId="0" borderId="1" xfId="0" applyNumberFormat="1" applyFont="1" applyFill="1" applyBorder="1"/>
    <xf numFmtId="0" fontId="15" fillId="17" borderId="0" xfId="0" applyFont="1" applyFill="1"/>
    <xf numFmtId="0" fontId="15" fillId="17" borderId="0" xfId="0" applyFont="1" applyFill="1" applyAlignment="1">
      <alignment horizontal="center"/>
    </xf>
    <xf numFmtId="0" fontId="15" fillId="17" borderId="0" xfId="0" applyFont="1" applyFill="1" applyBorder="1"/>
    <xf numFmtId="2" fontId="15" fillId="17" borderId="0" xfId="0" applyNumberFormat="1" applyFont="1" applyFill="1" applyBorder="1"/>
    <xf numFmtId="0" fontId="15" fillId="17" borderId="0" xfId="0" applyFont="1" applyFill="1" applyAlignment="1">
      <alignment horizontal="right"/>
    </xf>
    <xf numFmtId="0" fontId="15" fillId="17" borderId="0" xfId="0" applyFont="1" applyFill="1" applyBorder="1" applyAlignment="1">
      <alignment horizontal="right"/>
    </xf>
    <xf numFmtId="0" fontId="15" fillId="17" borderId="0" xfId="0" applyFont="1" applyFill="1" applyBorder="1" applyAlignment="1">
      <alignment horizontal="left"/>
    </xf>
    <xf numFmtId="0" fontId="15" fillId="17" borderId="0" xfId="0" applyNumberFormat="1" applyFont="1" applyFill="1" applyBorder="1"/>
    <xf numFmtId="0" fontId="15" fillId="17" borderId="0" xfId="0" applyFont="1" applyFill="1" applyBorder="1" applyAlignment="1">
      <alignment horizontal="center"/>
    </xf>
    <xf numFmtId="9" fontId="15" fillId="3" borderId="0" xfId="1" applyFont="1" applyFill="1" applyBorder="1" applyAlignment="1">
      <alignment horizontal="right"/>
    </xf>
    <xf numFmtId="0" fontId="15" fillId="3" borderId="0" xfId="0" applyNumberFormat="1" applyFont="1" applyFill="1" applyBorder="1"/>
    <xf numFmtId="0" fontId="11" fillId="3" borderId="0" xfId="0" applyFont="1" applyFill="1" applyAlignment="1">
      <alignment vertical="top"/>
    </xf>
    <xf numFmtId="0" fontId="15" fillId="3" borderId="0" xfId="0" applyFont="1" applyFill="1" applyAlignment="1">
      <alignment horizontal="center" wrapText="1"/>
    </xf>
    <xf numFmtId="0" fontId="16" fillId="3" borderId="0" xfId="0" applyFont="1" applyFill="1" applyAlignment="1">
      <alignment horizontal="right"/>
    </xf>
    <xf numFmtId="0" fontId="19" fillId="3" borderId="0" xfId="0" applyFont="1" applyFill="1"/>
    <xf numFmtId="0" fontId="15" fillId="3" borderId="0" xfId="0" applyFont="1" applyFill="1" applyBorder="1" applyAlignment="1">
      <alignment horizontal="center"/>
    </xf>
    <xf numFmtId="0" fontId="15" fillId="3" borderId="0" xfId="0" applyFont="1" applyFill="1" applyAlignment="1">
      <alignment horizontal="left" vertical="center" wrapText="1"/>
    </xf>
    <xf numFmtId="0" fontId="15" fillId="3" borderId="0" xfId="0" applyFont="1" applyFill="1" applyBorder="1" applyAlignment="1">
      <alignment horizontal="center" wrapText="1"/>
    </xf>
    <xf numFmtId="166" fontId="15" fillId="3" borderId="0" xfId="0" applyNumberFormat="1" applyFont="1" applyFill="1" applyBorder="1"/>
    <xf numFmtId="0" fontId="15" fillId="3" borderId="3" xfId="0" applyFont="1" applyFill="1" applyBorder="1"/>
    <xf numFmtId="0" fontId="15" fillId="3" borderId="4" xfId="0" applyFont="1" applyFill="1" applyBorder="1" applyAlignment="1">
      <alignment horizontal="center" wrapText="1"/>
    </xf>
    <xf numFmtId="0" fontId="20" fillId="3" borderId="4" xfId="0" applyFont="1" applyFill="1" applyBorder="1"/>
    <xf numFmtId="0" fontId="15" fillId="3" borderId="4" xfId="0" applyFont="1" applyFill="1" applyBorder="1"/>
    <xf numFmtId="0" fontId="15" fillId="3" borderId="4" xfId="0" applyFont="1" applyFill="1" applyBorder="1" applyAlignment="1">
      <alignment horizontal="center" vertical="center"/>
    </xf>
    <xf numFmtId="0" fontId="15" fillId="3" borderId="0" xfId="0" applyFont="1" applyFill="1" applyBorder="1" applyAlignment="1">
      <alignment horizontal="center" vertical="center" wrapText="1"/>
    </xf>
    <xf numFmtId="164" fontId="15" fillId="0" borderId="1" xfId="2" applyNumberFormat="1" applyFont="1" applyFill="1" applyBorder="1"/>
    <xf numFmtId="164" fontId="15" fillId="3" borderId="0" xfId="2" applyNumberFormat="1" applyFont="1" applyFill="1" applyBorder="1"/>
    <xf numFmtId="0" fontId="15" fillId="3" borderId="5" xfId="0" applyFont="1" applyFill="1" applyBorder="1" applyAlignment="1">
      <alignment horizontal="center" vertical="center" wrapText="1"/>
    </xf>
    <xf numFmtId="0" fontId="15" fillId="3" borderId="0" xfId="0" applyFont="1" applyFill="1" applyAlignment="1">
      <alignment horizontal="right"/>
    </xf>
    <xf numFmtId="164" fontId="15" fillId="11" borderId="1" xfId="2" applyNumberFormat="1" applyFont="1" applyFill="1" applyBorder="1"/>
    <xf numFmtId="164" fontId="15" fillId="3" borderId="0" xfId="2" applyNumberFormat="1" applyFont="1" applyFill="1"/>
    <xf numFmtId="164" fontId="15" fillId="3" borderId="5" xfId="2" applyNumberFormat="1" applyFont="1" applyFill="1" applyBorder="1"/>
    <xf numFmtId="0" fontId="15" fillId="3" borderId="0" xfId="0" applyFont="1" applyFill="1" applyBorder="1" applyAlignment="1">
      <alignment horizontal="right"/>
    </xf>
    <xf numFmtId="0" fontId="15" fillId="3" borderId="0" xfId="0" applyFont="1" applyFill="1" applyBorder="1" applyAlignment="1">
      <alignment horizontal="center" vertical="center"/>
    </xf>
    <xf numFmtId="0" fontId="15" fillId="5" borderId="0" xfId="0" applyFont="1" applyFill="1" applyBorder="1"/>
    <xf numFmtId="0" fontId="15" fillId="3" borderId="0" xfId="0" applyFont="1" applyFill="1" applyAlignment="1">
      <alignment vertical="center"/>
    </xf>
    <xf numFmtId="0" fontId="15" fillId="13" borderId="1" xfId="0" applyFont="1" applyFill="1" applyBorder="1"/>
    <xf numFmtId="0" fontId="15" fillId="0" borderId="6" xfId="0" applyFont="1" applyFill="1" applyBorder="1"/>
    <xf numFmtId="0" fontId="15" fillId="3" borderId="5" xfId="0" applyNumberFormat="1" applyFont="1" applyFill="1" applyBorder="1"/>
    <xf numFmtId="0" fontId="15" fillId="3" borderId="5" xfId="0" applyFont="1" applyFill="1" applyBorder="1"/>
    <xf numFmtId="0" fontId="15" fillId="3" borderId="4" xfId="0" applyFont="1" applyFill="1" applyBorder="1" applyAlignment="1">
      <alignment horizontal="center" vertical="center" wrapText="1"/>
    </xf>
    <xf numFmtId="0" fontId="15" fillId="3" borderId="0" xfId="0" applyFont="1" applyFill="1" applyAlignment="1">
      <alignment horizontal="center" vertical="center" wrapText="1"/>
    </xf>
    <xf numFmtId="0" fontId="11" fillId="3" borderId="0" xfId="0" applyFont="1" applyFill="1" applyAlignment="1">
      <alignment vertical="center"/>
    </xf>
    <xf numFmtId="0" fontId="11" fillId="3" borderId="0" xfId="0" applyFont="1" applyFill="1" applyBorder="1" applyAlignment="1"/>
    <xf numFmtId="0" fontId="11" fillId="3" borderId="0" xfId="0" applyFont="1" applyFill="1" applyBorder="1" applyAlignment="1">
      <alignment horizontal="center" vertical="center"/>
    </xf>
    <xf numFmtId="0" fontId="21" fillId="11" borderId="9" xfId="0" applyFont="1" applyFill="1" applyBorder="1" applyAlignment="1">
      <alignment horizontal="center" vertical="center"/>
    </xf>
    <xf numFmtId="1" fontId="15" fillId="3" borderId="0" xfId="0" applyNumberFormat="1" applyFont="1" applyFill="1" applyAlignment="1">
      <alignment horizontal="center" vertical="center" wrapText="1"/>
    </xf>
    <xf numFmtId="0" fontId="15" fillId="3" borderId="0" xfId="0" applyFont="1" applyFill="1" applyBorder="1" applyAlignment="1">
      <alignment horizontal="center" vertical="top"/>
    </xf>
    <xf numFmtId="0" fontId="15" fillId="3" borderId="0" xfId="0" applyFont="1" applyFill="1" applyBorder="1" applyAlignment="1">
      <alignment vertical="top"/>
    </xf>
    <xf numFmtId="0" fontId="21" fillId="3" borderId="0" xfId="0" applyFont="1" applyFill="1" applyBorder="1" applyAlignment="1">
      <alignment vertical="center"/>
    </xf>
    <xf numFmtId="0" fontId="21" fillId="3" borderId="0" xfId="0" applyFont="1" applyFill="1" applyBorder="1" applyAlignment="1">
      <alignment horizontal="center" vertical="center"/>
    </xf>
    <xf numFmtId="1" fontId="15" fillId="3" borderId="0" xfId="0" applyNumberFormat="1" applyFont="1" applyFill="1" applyAlignment="1">
      <alignment horizontal="center" vertical="center"/>
    </xf>
    <xf numFmtId="164" fontId="15" fillId="15" borderId="43" xfId="2" applyNumberFormat="1" applyFont="1" applyFill="1" applyBorder="1" applyAlignment="1">
      <alignment horizontal="center" vertical="center"/>
    </xf>
    <xf numFmtId="164" fontId="15" fillId="15" borderId="0" xfId="2" applyNumberFormat="1" applyFont="1" applyFill="1" applyBorder="1" applyAlignment="1">
      <alignment horizontal="center" vertical="center"/>
    </xf>
    <xf numFmtId="164" fontId="15" fillId="15" borderId="3" xfId="2" applyNumberFormat="1" applyFont="1" applyFill="1" applyBorder="1" applyAlignment="1">
      <alignment horizontal="center" vertical="center"/>
    </xf>
    <xf numFmtId="164" fontId="15" fillId="15" borderId="11" xfId="2" applyNumberFormat="1" applyFont="1" applyFill="1" applyBorder="1" applyAlignment="1">
      <alignment horizontal="center" vertical="center"/>
    </xf>
    <xf numFmtId="164" fontId="15" fillId="15" borderId="41" xfId="2" applyNumberFormat="1" applyFont="1" applyFill="1" applyBorder="1" applyAlignment="1">
      <alignment horizontal="center" vertical="center"/>
    </xf>
    <xf numFmtId="165" fontId="15" fillId="15" borderId="43" xfId="1" applyNumberFormat="1" applyFont="1" applyFill="1" applyBorder="1" applyAlignment="1">
      <alignment horizontal="right" vertical="center"/>
    </xf>
    <xf numFmtId="165" fontId="15" fillId="15" borderId="0" xfId="1" applyNumberFormat="1" applyFont="1" applyFill="1" applyBorder="1" applyAlignment="1">
      <alignment vertical="center"/>
    </xf>
    <xf numFmtId="165" fontId="15" fillId="15" borderId="3" xfId="1" applyNumberFormat="1" applyFont="1" applyFill="1" applyBorder="1" applyAlignment="1">
      <alignment vertical="center"/>
    </xf>
    <xf numFmtId="165" fontId="15" fillId="15" borderId="41" xfId="1" applyNumberFormat="1" applyFont="1" applyFill="1" applyBorder="1" applyAlignment="1">
      <alignment vertical="center"/>
    </xf>
    <xf numFmtId="0" fontId="13" fillId="3" borderId="0" xfId="0" applyFont="1" applyFill="1" applyAlignment="1">
      <alignment horizontal="right"/>
    </xf>
    <xf numFmtId="165" fontId="15" fillId="15" borderId="43" xfId="1" applyNumberFormat="1" applyFont="1" applyFill="1" applyBorder="1" applyAlignment="1">
      <alignment horizontal="right"/>
    </xf>
    <xf numFmtId="165" fontId="15" fillId="15" borderId="0" xfId="1" applyNumberFormat="1" applyFont="1" applyFill="1" applyAlignment="1">
      <alignment horizontal="right"/>
    </xf>
    <xf numFmtId="165" fontId="15" fillId="15" borderId="3" xfId="1" applyNumberFormat="1" applyFont="1" applyFill="1" applyBorder="1" applyAlignment="1">
      <alignment horizontal="right"/>
    </xf>
    <xf numFmtId="165" fontId="15" fillId="15" borderId="41" xfId="1" applyNumberFormat="1" applyFont="1" applyFill="1" applyBorder="1" applyAlignment="1">
      <alignment horizontal="right"/>
    </xf>
    <xf numFmtId="165" fontId="15" fillId="15" borderId="43" xfId="1" applyNumberFormat="1" applyFont="1" applyFill="1" applyBorder="1"/>
    <xf numFmtId="165" fontId="15" fillId="15" borderId="0" xfId="1" applyNumberFormat="1" applyFont="1" applyFill="1"/>
    <xf numFmtId="165" fontId="15" fillId="15" borderId="3" xfId="1" applyNumberFormat="1" applyFont="1" applyFill="1" applyBorder="1"/>
    <xf numFmtId="165" fontId="15" fillId="15" borderId="41" xfId="1" applyNumberFormat="1" applyFont="1" applyFill="1" applyBorder="1"/>
    <xf numFmtId="0" fontId="12" fillId="2" borderId="0" xfId="0" applyFont="1" applyFill="1" applyAlignment="1">
      <alignment horizontal="center" vertical="center"/>
    </xf>
    <xf numFmtId="0" fontId="15" fillId="9" borderId="0" xfId="0" applyFont="1" applyFill="1"/>
    <xf numFmtId="0" fontId="15" fillId="9" borderId="0" xfId="0" applyFont="1" applyFill="1" applyAlignment="1">
      <alignment horizontal="center"/>
    </xf>
    <xf numFmtId="2" fontId="21" fillId="2" borderId="0" xfId="0" applyNumberFormat="1" applyFont="1" applyFill="1" applyAlignment="1">
      <alignment horizontal="center" vertical="center"/>
    </xf>
    <xf numFmtId="2" fontId="21" fillId="18" borderId="0" xfId="0" applyNumberFormat="1" applyFont="1" applyFill="1" applyAlignment="1">
      <alignment horizontal="center" vertical="center"/>
    </xf>
    <xf numFmtId="2" fontId="21" fillId="2" borderId="0" xfId="3" applyNumberFormat="1" applyFont="1" applyFill="1" applyBorder="1" applyAlignment="1">
      <alignment horizontal="center" vertical="center"/>
    </xf>
    <xf numFmtId="2" fontId="21" fillId="2" borderId="0" xfId="3" applyNumberFormat="1" applyFont="1" applyFill="1" applyBorder="1" applyAlignment="1">
      <alignment horizontal="center" vertical="center" wrapText="1"/>
    </xf>
    <xf numFmtId="2" fontId="21" fillId="18" borderId="0" xfId="3" applyNumberFormat="1" applyFont="1" applyFill="1" applyBorder="1" applyAlignment="1">
      <alignment horizontal="center" vertical="center"/>
    </xf>
    <xf numFmtId="2" fontId="21" fillId="18" borderId="0" xfId="3" applyNumberFormat="1" applyFont="1" applyFill="1" applyBorder="1" applyAlignment="1">
      <alignment horizontal="center" vertical="center" wrapText="1"/>
    </xf>
    <xf numFmtId="2" fontId="21" fillId="2" borderId="0" xfId="3" applyNumberFormat="1" applyFont="1" applyFill="1" applyBorder="1" applyAlignment="1">
      <alignment horizontal="right" vertical="top"/>
    </xf>
    <xf numFmtId="2" fontId="21" fillId="2" borderId="0" xfId="3" applyNumberFormat="1" applyFont="1" applyFill="1" applyBorder="1"/>
    <xf numFmtId="2" fontId="21" fillId="18" borderId="0" xfId="3" applyNumberFormat="1" applyFont="1" applyFill="1" applyBorder="1" applyAlignment="1">
      <alignment horizontal="right" vertical="top"/>
    </xf>
    <xf numFmtId="2" fontId="21" fillId="18" borderId="0" xfId="3" applyNumberFormat="1" applyFont="1" applyFill="1" applyBorder="1"/>
    <xf numFmtId="0" fontId="15" fillId="9" borderId="0" xfId="0" applyFont="1" applyFill="1" applyAlignment="1">
      <alignment horizontal="right"/>
    </xf>
    <xf numFmtId="2" fontId="21" fillId="9" borderId="0" xfId="0" applyNumberFormat="1" applyFont="1" applyFill="1" applyAlignment="1">
      <alignment horizontal="center"/>
    </xf>
    <xf numFmtId="0" fontId="21" fillId="2" borderId="0" xfId="0" applyFont="1" applyFill="1" applyAlignment="1">
      <alignment horizontal="center"/>
    </xf>
    <xf numFmtId="0" fontId="21" fillId="18" borderId="0" xfId="0" applyFont="1" applyFill="1" applyAlignment="1">
      <alignment horizontal="center"/>
    </xf>
    <xf numFmtId="2" fontId="21" fillId="18" borderId="0" xfId="0" applyNumberFormat="1" applyFont="1" applyFill="1" applyAlignment="1">
      <alignment horizontal="center"/>
    </xf>
    <xf numFmtId="167" fontId="21" fillId="2" borderId="0" xfId="3" applyNumberFormat="1" applyFont="1" applyFill="1" applyBorder="1" applyAlignment="1">
      <alignment horizontal="center" vertical="center"/>
    </xf>
    <xf numFmtId="167" fontId="21" fillId="18" borderId="0" xfId="3" applyNumberFormat="1" applyFont="1" applyFill="1" applyBorder="1" applyAlignment="1">
      <alignment horizontal="center" vertical="center"/>
    </xf>
    <xf numFmtId="167" fontId="21" fillId="18" borderId="0" xfId="3" applyNumberFormat="1" applyFont="1" applyFill="1" applyBorder="1" applyAlignment="1">
      <alignment horizontal="center" vertical="center" wrapText="1"/>
    </xf>
    <xf numFmtId="0" fontId="21" fillId="2" borderId="0" xfId="0" applyFont="1" applyFill="1" applyAlignment="1">
      <alignment horizontal="center" vertical="center"/>
    </xf>
    <xf numFmtId="0" fontId="21" fillId="18" borderId="0" xfId="0" applyFont="1" applyFill="1" applyAlignment="1">
      <alignment horizontal="center" vertical="center"/>
    </xf>
    <xf numFmtId="2" fontId="15" fillId="3" borderId="0" xfId="0" applyNumberFormat="1" applyFont="1" applyFill="1" applyBorder="1"/>
    <xf numFmtId="0" fontId="15" fillId="3" borderId="0" xfId="0" applyFont="1" applyFill="1" applyAlignment="1">
      <alignment horizontal="right" wrapText="1"/>
    </xf>
    <xf numFmtId="0" fontId="17" fillId="3" borderId="0" xfId="0" applyFont="1" applyFill="1"/>
    <xf numFmtId="2" fontId="15" fillId="3" borderId="0" xfId="1" applyNumberFormat="1" applyFont="1" applyFill="1" applyBorder="1"/>
    <xf numFmtId="9" fontId="15" fillId="3" borderId="0" xfId="1" applyFont="1" applyFill="1" applyBorder="1"/>
    <xf numFmtId="9" fontId="15" fillId="17" borderId="0" xfId="1" applyFont="1" applyFill="1" applyBorder="1" applyAlignment="1">
      <alignment horizontal="right"/>
    </xf>
    <xf numFmtId="0" fontId="15" fillId="5" borderId="0" xfId="0" applyFont="1" applyFill="1" applyBorder="1" applyAlignment="1">
      <alignment horizontal="center"/>
    </xf>
    <xf numFmtId="0" fontId="15" fillId="5" borderId="0" xfId="0" applyFont="1" applyFill="1" applyBorder="1" applyAlignment="1">
      <alignment horizontal="right"/>
    </xf>
    <xf numFmtId="2" fontId="21" fillId="3" borderId="0" xfId="0" applyNumberFormat="1" applyFont="1" applyFill="1"/>
    <xf numFmtId="0" fontId="21" fillId="3" borderId="0" xfId="0" applyFont="1" applyFill="1"/>
    <xf numFmtId="0" fontId="15" fillId="19" borderId="0" xfId="0" applyFont="1" applyFill="1"/>
    <xf numFmtId="0" fontId="16" fillId="16" borderId="0" xfId="0" applyFont="1" applyFill="1"/>
    <xf numFmtId="0" fontId="15" fillId="16" borderId="0" xfId="0" applyFont="1" applyFill="1"/>
    <xf numFmtId="0" fontId="16" fillId="16" borderId="0" xfId="0" applyFont="1" applyFill="1" applyAlignment="1">
      <alignment horizontal="center"/>
    </xf>
    <xf numFmtId="0" fontId="16" fillId="16" borderId="0" xfId="0" applyFont="1" applyFill="1" applyAlignment="1">
      <alignment horizontal="right" wrapText="1"/>
    </xf>
    <xf numFmtId="0" fontId="16" fillId="16" borderId="0" xfId="0" applyFont="1" applyFill="1" applyAlignment="1">
      <alignment horizontal="right"/>
    </xf>
    <xf numFmtId="0" fontId="16" fillId="16" borderId="0" xfId="0" applyFont="1" applyFill="1" applyBorder="1" applyAlignment="1">
      <alignment horizontal="right"/>
    </xf>
    <xf numFmtId="0" fontId="15" fillId="4" borderId="0" xfId="0" applyFont="1" applyFill="1" applyBorder="1"/>
    <xf numFmtId="0" fontId="15" fillId="5" borderId="0" xfId="0" applyFont="1" applyFill="1" applyBorder="1" applyAlignment="1">
      <alignment horizontal="center" wrapText="1"/>
    </xf>
    <xf numFmtId="0" fontId="15" fillId="17" borderId="0" xfId="0" applyFont="1" applyFill="1" applyBorder="1" applyAlignment="1">
      <alignment vertical="center" wrapText="1"/>
    </xf>
    <xf numFmtId="0" fontId="15" fillId="17" borderId="0" xfId="0" applyFont="1" applyFill="1" applyBorder="1" applyAlignment="1">
      <alignment horizontal="right" vertical="center"/>
    </xf>
    <xf numFmtId="0" fontId="15" fillId="17" borderId="0" xfId="0" applyFont="1" applyFill="1" applyBorder="1" applyAlignment="1">
      <alignment horizontal="right" vertical="center" wrapText="1"/>
    </xf>
    <xf numFmtId="164" fontId="15" fillId="17" borderId="0" xfId="2" applyNumberFormat="1" applyFont="1" applyFill="1" applyBorder="1"/>
    <xf numFmtId="0" fontId="15" fillId="17" borderId="0" xfId="0" applyFont="1" applyFill="1" applyBorder="1" applyAlignment="1">
      <alignment wrapText="1"/>
    </xf>
    <xf numFmtId="0" fontId="15" fillId="17" borderId="3" xfId="0" applyFont="1" applyFill="1" applyBorder="1" applyAlignment="1">
      <alignment horizontal="right"/>
    </xf>
    <xf numFmtId="0" fontId="15" fillId="17" borderId="0" xfId="0" applyFont="1" applyFill="1" applyAlignment="1">
      <alignment horizontal="right" wrapText="1"/>
    </xf>
    <xf numFmtId="0" fontId="15" fillId="3" borderId="0" xfId="0" applyFont="1" applyFill="1" applyBorder="1" applyAlignment="1">
      <alignment vertical="center" wrapText="1"/>
    </xf>
    <xf numFmtId="0" fontId="15" fillId="3" borderId="0" xfId="0" applyFont="1" applyFill="1" applyBorder="1" applyAlignment="1">
      <alignment horizontal="right" vertical="center"/>
    </xf>
    <xf numFmtId="0" fontId="15" fillId="3" borderId="0" xfId="0" applyFont="1" applyFill="1" applyBorder="1" applyAlignment="1">
      <alignment horizontal="right" vertical="center" wrapText="1"/>
    </xf>
    <xf numFmtId="0" fontId="15" fillId="3" borderId="0" xfId="0" applyFont="1" applyFill="1" applyBorder="1" applyAlignment="1">
      <alignment wrapText="1"/>
    </xf>
    <xf numFmtId="0" fontId="15" fillId="3" borderId="0" xfId="0" applyFont="1" applyFill="1" applyBorder="1" applyAlignment="1">
      <alignment horizontal="right" wrapText="1"/>
    </xf>
    <xf numFmtId="2" fontId="21" fillId="2" borderId="0" xfId="0" applyNumberFormat="1" applyFont="1" applyFill="1" applyAlignment="1">
      <alignment horizontal="right" vertical="top"/>
    </xf>
    <xf numFmtId="0" fontId="15" fillId="13" borderId="0" xfId="0" applyFont="1" applyFill="1" applyBorder="1"/>
    <xf numFmtId="0" fontId="15" fillId="13" borderId="9" xfId="0" applyFont="1" applyFill="1" applyBorder="1"/>
    <xf numFmtId="0" fontId="15" fillId="13" borderId="13" xfId="0" applyFont="1" applyFill="1" applyBorder="1"/>
    <xf numFmtId="0" fontId="15" fillId="13" borderId="26" xfId="0" applyFont="1" applyFill="1" applyBorder="1"/>
    <xf numFmtId="0" fontId="15" fillId="0" borderId="0" xfId="0" applyFont="1"/>
    <xf numFmtId="0" fontId="15" fillId="13" borderId="27" xfId="0" applyFont="1" applyFill="1" applyBorder="1"/>
    <xf numFmtId="0" fontId="15" fillId="13" borderId="0" xfId="0" applyFont="1" applyFill="1" applyBorder="1" applyAlignment="1">
      <alignment wrapText="1"/>
    </xf>
    <xf numFmtId="0" fontId="15" fillId="13" borderId="0" xfId="0" applyFont="1" applyFill="1" applyBorder="1" applyAlignment="1">
      <alignment horizontal="right" wrapText="1"/>
    </xf>
    <xf numFmtId="0" fontId="15" fillId="7" borderId="35" xfId="0" applyFont="1" applyFill="1" applyBorder="1"/>
    <xf numFmtId="0" fontId="15" fillId="13" borderId="13" xfId="0" applyFont="1" applyFill="1" applyBorder="1" applyAlignment="1" applyProtection="1">
      <alignment horizontal="right"/>
      <protection locked="0"/>
    </xf>
    <xf numFmtId="2" fontId="15" fillId="7" borderId="13" xfId="0" applyNumberFormat="1" applyFont="1" applyFill="1" applyBorder="1" applyProtection="1">
      <protection locked="0"/>
    </xf>
    <xf numFmtId="2" fontId="15" fillId="7" borderId="26" xfId="0" applyNumberFormat="1" applyFont="1" applyFill="1" applyBorder="1" applyProtection="1">
      <protection locked="0"/>
    </xf>
    <xf numFmtId="0" fontId="15" fillId="8" borderId="36" xfId="0" applyFont="1" applyFill="1" applyBorder="1"/>
    <xf numFmtId="2" fontId="15" fillId="7" borderId="0" xfId="0" applyNumberFormat="1" applyFont="1" applyFill="1" applyBorder="1" applyProtection="1">
      <protection locked="0"/>
    </xf>
    <xf numFmtId="0" fontId="15" fillId="13" borderId="0" xfId="0" applyFont="1" applyFill="1" applyBorder="1" applyProtection="1">
      <protection locked="0"/>
    </xf>
    <xf numFmtId="0" fontId="15" fillId="13" borderId="27" xfId="0" applyFont="1" applyFill="1" applyBorder="1" applyProtection="1">
      <protection locked="0"/>
    </xf>
    <xf numFmtId="0" fontId="15" fillId="6" borderId="37" xfId="0" applyFont="1" applyFill="1" applyBorder="1"/>
    <xf numFmtId="0" fontId="15" fillId="13" borderId="9" xfId="0" applyFont="1" applyFill="1" applyBorder="1" applyAlignment="1">
      <alignment horizontal="left"/>
    </xf>
    <xf numFmtId="0" fontId="15" fillId="13" borderId="28" xfId="0" applyFont="1" applyFill="1" applyBorder="1" applyAlignment="1">
      <alignment horizontal="left"/>
    </xf>
    <xf numFmtId="0" fontId="15" fillId="13" borderId="14" xfId="0" applyFont="1" applyFill="1" applyBorder="1"/>
    <xf numFmtId="2" fontId="15" fillId="7" borderId="9" xfId="0" applyNumberFormat="1" applyFont="1" applyFill="1" applyBorder="1" applyProtection="1">
      <protection locked="0"/>
    </xf>
    <xf numFmtId="0" fontId="15" fillId="13" borderId="9" xfId="0" applyFont="1" applyFill="1" applyBorder="1" applyProtection="1">
      <protection locked="0"/>
    </xf>
    <xf numFmtId="0" fontId="15" fillId="13" borderId="28" xfId="0" applyFont="1" applyFill="1" applyBorder="1" applyProtection="1">
      <protection locked="0"/>
    </xf>
    <xf numFmtId="0" fontId="15" fillId="13" borderId="0" xfId="0" applyFont="1" applyFill="1" applyBorder="1" applyAlignment="1" applyProtection="1">
      <alignment horizontal="right"/>
      <protection locked="0"/>
    </xf>
    <xf numFmtId="0" fontId="15" fillId="13" borderId="27" xfId="0" applyFont="1" applyFill="1" applyBorder="1" applyAlignment="1" applyProtection="1">
      <alignment horizontal="right"/>
      <protection locked="0"/>
    </xf>
    <xf numFmtId="0" fontId="15" fillId="13" borderId="36" xfId="0" applyFont="1" applyFill="1" applyBorder="1"/>
    <xf numFmtId="0" fontId="15" fillId="13" borderId="9" xfId="0" applyFont="1" applyFill="1" applyBorder="1" applyAlignment="1">
      <alignment vertical="center"/>
    </xf>
    <xf numFmtId="0" fontId="19" fillId="13" borderId="0" xfId="0" applyFont="1" applyFill="1" applyBorder="1"/>
    <xf numFmtId="0" fontId="15" fillId="13" borderId="3" xfId="0" applyFont="1" applyFill="1" applyBorder="1"/>
    <xf numFmtId="0" fontId="21" fillId="13" borderId="12" xfId="0" applyFont="1" applyFill="1" applyBorder="1"/>
    <xf numFmtId="0" fontId="19" fillId="13" borderId="13" xfId="0" applyFont="1" applyFill="1" applyBorder="1"/>
    <xf numFmtId="10" fontId="15" fillId="7" borderId="12" xfId="1" applyNumberFormat="1" applyFont="1" applyFill="1" applyBorder="1" applyAlignment="1" applyProtection="1">
      <alignment horizontal="right"/>
      <protection locked="0"/>
    </xf>
    <xf numFmtId="10" fontId="15" fillId="7" borderId="13" xfId="1" applyNumberFormat="1" applyFont="1" applyFill="1" applyBorder="1" applyAlignment="1" applyProtection="1">
      <alignment horizontal="right"/>
      <protection locked="0"/>
    </xf>
    <xf numFmtId="10" fontId="15" fillId="7" borderId="16" xfId="1" applyNumberFormat="1" applyFont="1" applyFill="1" applyBorder="1" applyAlignment="1" applyProtection="1">
      <alignment horizontal="right"/>
      <protection locked="0"/>
    </xf>
    <xf numFmtId="10" fontId="15" fillId="13" borderId="12" xfId="1" applyNumberFormat="1" applyFont="1" applyFill="1" applyBorder="1" applyProtection="1">
      <protection locked="0"/>
    </xf>
    <xf numFmtId="10" fontId="15" fillId="13" borderId="13" xfId="1" applyNumberFormat="1" applyFont="1" applyFill="1" applyBorder="1" applyProtection="1">
      <protection locked="0"/>
    </xf>
    <xf numFmtId="10" fontId="15" fillId="7" borderId="26" xfId="1" applyNumberFormat="1" applyFont="1" applyFill="1" applyBorder="1" applyAlignment="1" applyProtection="1">
      <alignment horizontal="right"/>
      <protection locked="0"/>
    </xf>
    <xf numFmtId="0" fontId="21" fillId="13" borderId="15" xfId="0" applyFont="1" applyFill="1" applyBorder="1"/>
    <xf numFmtId="0" fontId="19" fillId="13" borderId="9" xfId="0" applyFont="1" applyFill="1" applyBorder="1"/>
    <xf numFmtId="10" fontId="15" fillId="7" borderId="11" xfId="1" applyNumberFormat="1" applyFont="1" applyFill="1" applyBorder="1" applyAlignment="1" applyProtection="1">
      <alignment horizontal="right"/>
      <protection locked="0"/>
    </xf>
    <xf numFmtId="10" fontId="15" fillId="7" borderId="0" xfId="1" applyNumberFormat="1" applyFont="1" applyFill="1" applyBorder="1" applyAlignment="1" applyProtection="1">
      <alignment horizontal="right"/>
      <protection locked="0"/>
    </xf>
    <xf numFmtId="10" fontId="15" fillId="7" borderId="3" xfId="1" applyNumberFormat="1" applyFont="1" applyFill="1" applyBorder="1" applyAlignment="1" applyProtection="1">
      <alignment horizontal="right"/>
      <protection locked="0"/>
    </xf>
    <xf numFmtId="10" fontId="15" fillId="13" borderId="11" xfId="1" applyNumberFormat="1" applyFont="1" applyFill="1" applyBorder="1" applyProtection="1">
      <protection locked="0"/>
    </xf>
    <xf numFmtId="10" fontId="15" fillId="13" borderId="0" xfId="1" applyNumberFormat="1" applyFont="1" applyFill="1" applyBorder="1" applyProtection="1">
      <protection locked="0"/>
    </xf>
    <xf numFmtId="10" fontId="15" fillId="13" borderId="27" xfId="1" applyNumberFormat="1" applyFont="1" applyFill="1" applyBorder="1" applyProtection="1">
      <protection locked="0"/>
    </xf>
    <xf numFmtId="0" fontId="15" fillId="13" borderId="16" xfId="0" applyFont="1" applyFill="1" applyBorder="1"/>
    <xf numFmtId="0" fontId="15" fillId="13" borderId="37" xfId="0" applyFont="1" applyFill="1" applyBorder="1"/>
    <xf numFmtId="0" fontId="15" fillId="13" borderId="11" xfId="0" applyFont="1" applyFill="1" applyBorder="1"/>
    <xf numFmtId="0" fontId="15" fillId="13" borderId="15" xfId="0" applyFont="1" applyFill="1" applyBorder="1"/>
    <xf numFmtId="0" fontId="15" fillId="13" borderId="28" xfId="0" applyFont="1" applyFill="1" applyBorder="1"/>
    <xf numFmtId="10" fontId="15" fillId="8" borderId="39" xfId="1" applyNumberFormat="1" applyFont="1" applyFill="1" applyBorder="1"/>
    <xf numFmtId="10" fontId="15" fillId="8" borderId="40" xfId="1" applyNumberFormat="1" applyFont="1" applyFill="1" applyBorder="1"/>
    <xf numFmtId="10" fontId="15" fillId="8" borderId="10" xfId="1" applyNumberFormat="1" applyFont="1" applyFill="1" applyBorder="1"/>
    <xf numFmtId="10" fontId="15" fillId="8" borderId="15" xfId="1" applyNumberFormat="1" applyFont="1" applyFill="1" applyBorder="1"/>
    <xf numFmtId="10" fontId="15" fillId="8" borderId="9" xfId="1" applyNumberFormat="1" applyFont="1" applyFill="1" applyBorder="1"/>
    <xf numFmtId="10" fontId="15" fillId="8" borderId="28" xfId="1" applyNumberFormat="1" applyFont="1" applyFill="1" applyBorder="1"/>
    <xf numFmtId="10" fontId="15" fillId="9" borderId="17" xfId="1" applyNumberFormat="1" applyFont="1" applyFill="1" applyBorder="1" applyAlignment="1">
      <alignment horizontal="right"/>
    </xf>
    <xf numFmtId="10" fontId="15" fillId="9" borderId="18" xfId="1" applyNumberFormat="1" applyFont="1" applyFill="1" applyBorder="1" applyAlignment="1">
      <alignment horizontal="right"/>
    </xf>
    <xf numFmtId="10" fontId="15" fillId="9" borderId="19" xfId="1" applyNumberFormat="1" applyFont="1" applyFill="1" applyBorder="1" applyAlignment="1">
      <alignment horizontal="right"/>
    </xf>
    <xf numFmtId="10" fontId="15" fillId="9" borderId="29" xfId="1" applyNumberFormat="1" applyFont="1" applyFill="1" applyBorder="1" applyAlignment="1">
      <alignment horizontal="right"/>
    </xf>
    <xf numFmtId="1" fontId="15" fillId="6" borderId="7" xfId="0" applyNumberFormat="1" applyFont="1" applyFill="1" applyBorder="1" applyAlignment="1">
      <alignment horizontal="right"/>
    </xf>
    <xf numFmtId="1" fontId="15" fillId="6" borderId="21" xfId="0" applyNumberFormat="1" applyFont="1" applyFill="1" applyBorder="1" applyAlignment="1">
      <alignment horizontal="right"/>
    </xf>
    <xf numFmtId="1" fontId="15" fillId="6" borderId="20" xfId="0" applyNumberFormat="1" applyFont="1" applyFill="1" applyBorder="1" applyAlignment="1">
      <alignment horizontal="right"/>
    </xf>
    <xf numFmtId="1" fontId="15" fillId="6" borderId="30" xfId="0" applyNumberFormat="1" applyFont="1" applyFill="1" applyBorder="1" applyAlignment="1">
      <alignment horizontal="right"/>
    </xf>
    <xf numFmtId="1" fontId="15" fillId="6" borderId="22" xfId="0" applyNumberFormat="1" applyFont="1" applyFill="1" applyBorder="1" applyAlignment="1">
      <alignment horizontal="right"/>
    </xf>
    <xf numFmtId="1" fontId="15" fillId="6" borderId="23" xfId="0" applyNumberFormat="1" applyFont="1" applyFill="1" applyBorder="1" applyAlignment="1">
      <alignment horizontal="right"/>
    </xf>
    <xf numFmtId="1" fontId="15" fillId="6" borderId="24" xfId="0" applyNumberFormat="1" applyFont="1" applyFill="1" applyBorder="1" applyAlignment="1">
      <alignment horizontal="right"/>
    </xf>
    <xf numFmtId="1" fontId="15" fillId="6" borderId="31" xfId="0" applyNumberFormat="1" applyFont="1" applyFill="1" applyBorder="1" applyAlignment="1">
      <alignment horizontal="right"/>
    </xf>
    <xf numFmtId="10" fontId="15" fillId="7" borderId="11" xfId="0" applyNumberFormat="1" applyFont="1" applyFill="1" applyBorder="1" applyAlignment="1" applyProtection="1">
      <alignment horizontal="right"/>
      <protection locked="0"/>
    </xf>
    <xf numFmtId="10" fontId="15" fillId="7" borderId="0" xfId="0" applyNumberFormat="1" applyFont="1" applyFill="1" applyBorder="1" applyAlignment="1" applyProtection="1">
      <alignment horizontal="right"/>
      <protection locked="0"/>
    </xf>
    <xf numFmtId="10" fontId="15" fillId="13" borderId="11" xfId="0" applyNumberFormat="1" applyFont="1" applyFill="1" applyBorder="1" applyProtection="1">
      <protection locked="0"/>
    </xf>
    <xf numFmtId="10" fontId="15" fillId="13" borderId="0" xfId="0" applyNumberFormat="1" applyFont="1" applyFill="1" applyBorder="1" applyProtection="1">
      <protection locked="0"/>
    </xf>
    <xf numFmtId="10" fontId="15" fillId="7" borderId="27" xfId="0" applyNumberFormat="1" applyFont="1" applyFill="1" applyBorder="1" applyAlignment="1" applyProtection="1">
      <alignment horizontal="right"/>
      <protection locked="0"/>
    </xf>
    <xf numFmtId="0" fontId="19" fillId="13" borderId="14" xfId="0" applyFont="1" applyFill="1" applyBorder="1"/>
    <xf numFmtId="10" fontId="15" fillId="13" borderId="27" xfId="0" applyNumberFormat="1" applyFont="1" applyFill="1" applyBorder="1" applyProtection="1">
      <protection locked="0"/>
    </xf>
    <xf numFmtId="0" fontId="15" fillId="13" borderId="12" xfId="0" applyFont="1" applyFill="1" applyBorder="1" applyAlignment="1">
      <alignment horizontal="right"/>
    </xf>
    <xf numFmtId="0" fontId="15" fillId="13" borderId="13" xfId="0" applyFont="1" applyFill="1" applyBorder="1" applyAlignment="1">
      <alignment horizontal="right"/>
    </xf>
    <xf numFmtId="0" fontId="15" fillId="13" borderId="16" xfId="0" applyFont="1" applyFill="1" applyBorder="1" applyAlignment="1">
      <alignment horizontal="right"/>
    </xf>
    <xf numFmtId="10" fontId="15" fillId="8" borderId="14" xfId="1" applyNumberFormat="1" applyFont="1" applyFill="1" applyBorder="1"/>
    <xf numFmtId="10" fontId="15" fillId="8" borderId="25" xfId="1" applyNumberFormat="1" applyFont="1" applyFill="1" applyBorder="1"/>
    <xf numFmtId="10" fontId="15" fillId="7" borderId="17" xfId="0" applyNumberFormat="1" applyFont="1" applyFill="1" applyBorder="1" applyAlignment="1">
      <alignment horizontal="right"/>
    </xf>
    <xf numFmtId="10" fontId="15" fillId="7" borderId="18" xfId="0" applyNumberFormat="1" applyFont="1" applyFill="1" applyBorder="1" applyAlignment="1">
      <alignment horizontal="right"/>
    </xf>
    <xf numFmtId="10" fontId="15" fillId="7" borderId="19" xfId="0" applyNumberFormat="1" applyFont="1" applyFill="1" applyBorder="1" applyAlignment="1">
      <alignment horizontal="right"/>
    </xf>
    <xf numFmtId="10" fontId="15" fillId="7" borderId="29" xfId="0" applyNumberFormat="1" applyFont="1" applyFill="1" applyBorder="1" applyAlignment="1">
      <alignment horizontal="right"/>
    </xf>
    <xf numFmtId="164" fontId="15" fillId="6" borderId="20" xfId="2" applyNumberFormat="1" applyFont="1" applyFill="1" applyBorder="1" applyAlignment="1">
      <alignment horizontal="right"/>
    </xf>
    <xf numFmtId="164" fontId="15" fillId="6" borderId="7" xfId="2" applyNumberFormat="1" applyFont="1" applyFill="1" applyBorder="1" applyAlignment="1">
      <alignment horizontal="right"/>
    </xf>
    <xf numFmtId="164" fontId="15" fillId="6" borderId="21" xfId="2" applyNumberFormat="1" applyFont="1" applyFill="1" applyBorder="1" applyAlignment="1">
      <alignment horizontal="right"/>
    </xf>
    <xf numFmtId="164" fontId="15" fillId="6" borderId="30" xfId="2" applyNumberFormat="1" applyFont="1" applyFill="1" applyBorder="1" applyAlignment="1">
      <alignment horizontal="right"/>
    </xf>
    <xf numFmtId="164" fontId="15" fillId="6" borderId="22" xfId="2" applyNumberFormat="1" applyFont="1" applyFill="1" applyBorder="1" applyAlignment="1">
      <alignment horizontal="right"/>
    </xf>
    <xf numFmtId="0" fontId="15" fillId="0" borderId="0" xfId="0" applyFont="1" applyBorder="1"/>
    <xf numFmtId="0" fontId="15" fillId="13" borderId="11" xfId="0" applyFont="1" applyFill="1" applyBorder="1" applyAlignment="1">
      <alignment horizontal="right"/>
    </xf>
    <xf numFmtId="0" fontId="15" fillId="13" borderId="0" xfId="0" applyFont="1" applyFill="1" applyBorder="1" applyAlignment="1">
      <alignment horizontal="right"/>
    </xf>
    <xf numFmtId="169" fontId="15" fillId="13" borderId="0" xfId="0" applyNumberFormat="1" applyFont="1" applyFill="1" applyBorder="1"/>
    <xf numFmtId="0" fontId="23" fillId="13" borderId="0" xfId="0" applyFont="1" applyFill="1" applyAlignment="1">
      <alignment vertical="center"/>
    </xf>
    <xf numFmtId="0" fontId="15" fillId="13" borderId="0" xfId="0" applyFont="1" applyFill="1"/>
    <xf numFmtId="0" fontId="18" fillId="13" borderId="0" xfId="0" applyFont="1" applyFill="1"/>
    <xf numFmtId="0" fontId="15" fillId="0" borderId="0" xfId="0" quotePrefix="1" applyFont="1"/>
    <xf numFmtId="0" fontId="24" fillId="13" borderId="0" xfId="0" applyFont="1" applyFill="1"/>
    <xf numFmtId="0" fontId="24" fillId="0" borderId="0" xfId="0" applyFont="1"/>
    <xf numFmtId="2" fontId="15" fillId="2" borderId="0" xfId="0" applyNumberFormat="1" applyFont="1" applyFill="1" applyAlignment="1">
      <alignment horizontal="center" vertical="center"/>
    </xf>
    <xf numFmtId="2" fontId="15" fillId="18" borderId="0" xfId="0" applyNumberFormat="1" applyFont="1" applyFill="1" applyAlignment="1">
      <alignment horizontal="center" vertical="center"/>
    </xf>
    <xf numFmtId="2" fontId="12" fillId="2" borderId="0" xfId="0" applyNumberFormat="1" applyFont="1" applyFill="1"/>
    <xf numFmtId="2" fontId="26" fillId="18" borderId="0" xfId="3" applyNumberFormat="1" applyFont="1" applyFill="1" applyBorder="1" applyAlignment="1">
      <alignment horizontal="center" vertical="center"/>
    </xf>
    <xf numFmtId="2" fontId="26" fillId="18" borderId="0" xfId="3" applyNumberFormat="1" applyFont="1" applyFill="1" applyBorder="1" applyAlignment="1">
      <alignment horizontal="center" vertical="center" wrapText="1"/>
    </xf>
    <xf numFmtId="2" fontId="15" fillId="3" borderId="0" xfId="0" applyNumberFormat="1" applyFont="1" applyFill="1" applyAlignment="1">
      <alignment horizontal="center" vertical="center"/>
    </xf>
    <xf numFmtId="0" fontId="12" fillId="2" borderId="0" xfId="0" applyFont="1" applyFill="1"/>
    <xf numFmtId="0" fontId="12" fillId="9" borderId="0" xfId="0" applyFont="1" applyFill="1" applyAlignment="1">
      <alignment horizontal="right"/>
    </xf>
    <xf numFmtId="2" fontId="27" fillId="2" borderId="0" xfId="0" applyNumberFormat="1" applyFont="1" applyFill="1"/>
    <xf numFmtId="2" fontId="28" fillId="2" borderId="0" xfId="0" applyNumberFormat="1" applyFont="1" applyFill="1" applyAlignment="1">
      <alignment horizontal="center" vertical="center"/>
    </xf>
    <xf numFmtId="164" fontId="15" fillId="3" borderId="0" xfId="0" applyNumberFormat="1" applyFont="1" applyFill="1"/>
    <xf numFmtId="10" fontId="15" fillId="7" borderId="17" xfId="1" applyNumberFormat="1" applyFont="1" applyFill="1" applyBorder="1" applyAlignment="1" applyProtection="1">
      <alignment horizontal="right"/>
      <protection locked="0"/>
    </xf>
    <xf numFmtId="10" fontId="15" fillId="7" borderId="18" xfId="1" applyNumberFormat="1" applyFont="1" applyFill="1" applyBorder="1" applyAlignment="1" applyProtection="1">
      <alignment horizontal="right"/>
      <protection locked="0"/>
    </xf>
    <xf numFmtId="10" fontId="15" fillId="7" borderId="19" xfId="1" applyNumberFormat="1" applyFont="1" applyFill="1" applyBorder="1" applyAlignment="1" applyProtection="1">
      <alignment horizontal="right"/>
      <protection locked="0"/>
    </xf>
    <xf numFmtId="0" fontId="16" fillId="3" borderId="0" xfId="0" applyFont="1" applyFill="1" applyAlignment="1"/>
    <xf numFmtId="2" fontId="15" fillId="13" borderId="1" xfId="0" applyNumberFormat="1" applyFont="1" applyFill="1" applyBorder="1"/>
    <xf numFmtId="164" fontId="15" fillId="6" borderId="23" xfId="2" applyNumberFormat="1" applyFont="1" applyFill="1" applyBorder="1" applyAlignment="1">
      <alignment horizontal="right"/>
    </xf>
    <xf numFmtId="164" fontId="15" fillId="6" borderId="24" xfId="2" applyNumberFormat="1" applyFont="1" applyFill="1" applyBorder="1" applyAlignment="1">
      <alignment horizontal="right"/>
    </xf>
    <xf numFmtId="164" fontId="15" fillId="6" borderId="31" xfId="2" applyNumberFormat="1" applyFont="1" applyFill="1" applyBorder="1" applyAlignment="1">
      <alignment horizontal="right"/>
    </xf>
    <xf numFmtId="2" fontId="23" fillId="13" borderId="0" xfId="0" applyNumberFormat="1" applyFont="1" applyFill="1" applyBorder="1"/>
    <xf numFmtId="10" fontId="23" fillId="13" borderId="0" xfId="1" applyNumberFormat="1" applyFont="1" applyFill="1" applyBorder="1"/>
    <xf numFmtId="168" fontId="15" fillId="13" borderId="1" xfId="0" applyNumberFormat="1" applyFont="1" applyFill="1" applyBorder="1"/>
    <xf numFmtId="169" fontId="15" fillId="0" borderId="0" xfId="0" applyNumberFormat="1" applyFont="1" applyFill="1" applyBorder="1" applyAlignment="1">
      <alignment horizontal="center" vertical="center"/>
    </xf>
    <xf numFmtId="169" fontId="15" fillId="0" borderId="1" xfId="0" applyNumberFormat="1" applyFont="1" applyFill="1" applyBorder="1"/>
    <xf numFmtId="169" fontId="15" fillId="3" borderId="0" xfId="0" applyNumberFormat="1" applyFont="1" applyFill="1"/>
    <xf numFmtId="169" fontId="15" fillId="3" borderId="0" xfId="0" applyNumberFormat="1" applyFont="1" applyFill="1" applyBorder="1"/>
    <xf numFmtId="0" fontId="25" fillId="13" borderId="0" xfId="0" applyFont="1" applyFill="1" applyBorder="1" applyAlignment="1">
      <alignment horizontal="center" vertical="center"/>
    </xf>
    <xf numFmtId="0" fontId="15" fillId="3" borderId="0" xfId="0" applyFont="1" applyFill="1" applyBorder="1" applyAlignment="1">
      <alignment horizontal="center" vertical="center" wrapText="1"/>
    </xf>
    <xf numFmtId="0" fontId="15" fillId="3" borderId="0" xfId="0" applyFont="1" applyFill="1" applyAlignment="1">
      <alignment horizontal="right"/>
    </xf>
    <xf numFmtId="0" fontId="15" fillId="17" borderId="0" xfId="0" applyFont="1" applyFill="1" applyAlignment="1">
      <alignment horizontal="center" vertical="center"/>
    </xf>
    <xf numFmtId="0" fontId="15" fillId="3" borderId="0" xfId="0" applyFont="1" applyFill="1" applyAlignment="1">
      <alignment horizontal="center"/>
    </xf>
    <xf numFmtId="10" fontId="15" fillId="13" borderId="11" xfId="1" applyNumberFormat="1" applyFont="1" applyFill="1" applyBorder="1" applyAlignment="1" applyProtection="1">
      <alignment horizontal="right"/>
      <protection locked="0"/>
    </xf>
    <xf numFmtId="10" fontId="15" fillId="13" borderId="0" xfId="1" applyNumberFormat="1" applyFont="1" applyFill="1" applyBorder="1" applyAlignment="1" applyProtection="1">
      <alignment horizontal="right"/>
      <protection locked="0"/>
    </xf>
    <xf numFmtId="11" fontId="15" fillId="13" borderId="11" xfId="0" applyNumberFormat="1" applyFont="1" applyFill="1" applyBorder="1"/>
    <xf numFmtId="11" fontId="15" fillId="13" borderId="0" xfId="0" applyNumberFormat="1" applyFont="1" applyFill="1" applyBorder="1"/>
    <xf numFmtId="10" fontId="15" fillId="13" borderId="0" xfId="1" applyNumberFormat="1" applyFont="1" applyFill="1" applyBorder="1"/>
    <xf numFmtId="1" fontId="15" fillId="13" borderId="0" xfId="0" applyNumberFormat="1" applyFont="1" applyFill="1" applyBorder="1" applyAlignment="1">
      <alignment horizontal="right"/>
    </xf>
    <xf numFmtId="9" fontId="15" fillId="13" borderId="0" xfId="1" applyFont="1" applyFill="1" applyBorder="1" applyAlignment="1">
      <alignment horizontal="right"/>
    </xf>
    <xf numFmtId="10" fontId="15" fillId="13" borderId="11" xfId="1" applyNumberFormat="1" applyFont="1" applyFill="1" applyBorder="1"/>
    <xf numFmtId="1" fontId="15" fillId="13" borderId="11" xfId="0" applyNumberFormat="1" applyFont="1" applyFill="1" applyBorder="1" applyAlignment="1">
      <alignment horizontal="right"/>
    </xf>
    <xf numFmtId="9" fontId="15" fillId="13" borderId="11" xfId="1" applyFont="1" applyFill="1" applyBorder="1" applyAlignment="1">
      <alignment horizontal="right"/>
    </xf>
    <xf numFmtId="0" fontId="16" fillId="3" borderId="0" xfId="0" applyFont="1" applyFill="1" applyBorder="1" applyAlignment="1">
      <alignment vertical="center"/>
    </xf>
    <xf numFmtId="164" fontId="15" fillId="3" borderId="0" xfId="2" applyNumberFormat="1" applyFont="1" applyFill="1" applyBorder="1" applyAlignment="1">
      <alignment horizontal="center" vertical="center"/>
    </xf>
    <xf numFmtId="165" fontId="15" fillId="3" borderId="0" xfId="1" applyNumberFormat="1" applyFont="1" applyFill="1" applyBorder="1" applyAlignment="1">
      <alignment vertical="center"/>
    </xf>
    <xf numFmtId="165" fontId="15" fillId="15" borderId="0" xfId="1" applyNumberFormat="1" applyFont="1" applyFill="1" applyBorder="1" applyAlignment="1">
      <alignment horizontal="right"/>
    </xf>
    <xf numFmtId="165" fontId="15" fillId="15" borderId="0" xfId="1" applyNumberFormat="1" applyFont="1" applyFill="1" applyBorder="1"/>
    <xf numFmtId="165" fontId="15" fillId="3" borderId="0" xfId="1" applyNumberFormat="1" applyFont="1" applyFill="1" applyBorder="1" applyAlignment="1">
      <alignment horizontal="right"/>
    </xf>
    <xf numFmtId="165" fontId="15" fillId="3" borderId="0" xfId="1" applyNumberFormat="1" applyFont="1" applyFill="1" applyBorder="1"/>
    <xf numFmtId="164" fontId="24" fillId="13" borderId="0" xfId="2" applyNumberFormat="1" applyFont="1" applyFill="1" applyBorder="1" applyAlignment="1">
      <alignment horizontal="center" vertical="center"/>
    </xf>
    <xf numFmtId="0" fontId="24" fillId="13" borderId="0" xfId="0" applyFont="1" applyFill="1" applyBorder="1" applyAlignment="1">
      <alignment vertical="center"/>
    </xf>
    <xf numFmtId="0" fontId="15" fillId="17" borderId="0" xfId="0" applyFont="1" applyFill="1" applyAlignment="1">
      <alignment horizontal="center" vertical="center"/>
    </xf>
    <xf numFmtId="0" fontId="29" fillId="17" borderId="0" xfId="0" applyFont="1" applyFill="1"/>
    <xf numFmtId="164" fontId="21" fillId="11" borderId="1" xfId="2" applyNumberFormat="1" applyFont="1" applyFill="1" applyBorder="1"/>
    <xf numFmtId="169" fontId="15" fillId="7" borderId="32" xfId="0" applyNumberFormat="1" applyFont="1" applyFill="1" applyBorder="1"/>
    <xf numFmtId="11" fontId="15" fillId="13" borderId="3" xfId="0" applyNumberFormat="1" applyFont="1" applyFill="1" applyBorder="1"/>
    <xf numFmtId="164" fontId="15" fillId="7" borderId="0" xfId="2" applyNumberFormat="1" applyFont="1" applyFill="1" applyBorder="1" applyAlignment="1" applyProtection="1">
      <alignment horizontal="right"/>
      <protection locked="0"/>
    </xf>
    <xf numFmtId="164" fontId="15" fillId="7" borderId="26" xfId="2" applyNumberFormat="1" applyFont="1" applyFill="1" applyBorder="1" applyAlignment="1" applyProtection="1">
      <alignment horizontal="right"/>
      <protection locked="0"/>
    </xf>
    <xf numFmtId="169" fontId="15" fillId="0" borderId="21" xfId="0" applyNumberFormat="1" applyFont="1" applyFill="1" applyBorder="1"/>
    <xf numFmtId="0" fontId="15" fillId="3" borderId="49" xfId="0" applyFont="1" applyFill="1" applyBorder="1"/>
    <xf numFmtId="0" fontId="15" fillId="3" borderId="52" xfId="0" applyFont="1" applyFill="1" applyBorder="1" applyAlignment="1">
      <alignment horizontal="center" wrapText="1"/>
    </xf>
    <xf numFmtId="0" fontId="15" fillId="3" borderId="51" xfId="0" applyFont="1" applyFill="1" applyBorder="1"/>
    <xf numFmtId="0" fontId="16" fillId="20" borderId="0" xfId="0" applyFont="1" applyFill="1" applyAlignment="1">
      <alignment horizontal="center" vertical="center"/>
    </xf>
    <xf numFmtId="0" fontId="11" fillId="3" borderId="0" xfId="0" applyFont="1" applyFill="1" applyBorder="1" applyAlignment="1">
      <alignment horizontal="left" vertical="center"/>
    </xf>
    <xf numFmtId="0" fontId="15" fillId="3" borderId="0" xfId="0" applyFont="1" applyFill="1" applyAlignment="1">
      <alignment horizontal="center" vertical="center"/>
    </xf>
    <xf numFmtId="164" fontId="15" fillId="9" borderId="0" xfId="2" applyNumberFormat="1" applyFont="1" applyFill="1" applyAlignment="1">
      <alignment horizontal="center" vertical="center"/>
    </xf>
    <xf numFmtId="164" fontId="15" fillId="9" borderId="45" xfId="2" applyNumberFormat="1" applyFont="1" applyFill="1" applyBorder="1" applyAlignment="1">
      <alignment horizontal="center" vertical="center"/>
    </xf>
    <xf numFmtId="164" fontId="15" fillId="9" borderId="13" xfId="2" applyNumberFormat="1" applyFont="1" applyFill="1" applyBorder="1" applyAlignment="1">
      <alignment horizontal="center" vertical="center"/>
    </xf>
    <xf numFmtId="164" fontId="15" fillId="9" borderId="16" xfId="2" applyNumberFormat="1" applyFont="1" applyFill="1" applyBorder="1" applyAlignment="1">
      <alignment horizontal="center" vertical="center"/>
    </xf>
    <xf numFmtId="164" fontId="15" fillId="9" borderId="43" xfId="2" applyNumberFormat="1" applyFont="1" applyFill="1" applyBorder="1" applyAlignment="1">
      <alignment horizontal="center" vertical="center"/>
    </xf>
    <xf numFmtId="164" fontId="15" fillId="9" borderId="0" xfId="2" applyNumberFormat="1" applyFont="1" applyFill="1" applyBorder="1" applyAlignment="1">
      <alignment horizontal="center" vertical="center"/>
    </xf>
    <xf numFmtId="164" fontId="15" fillId="9" borderId="3" xfId="2" applyNumberFormat="1" applyFont="1" applyFill="1" applyBorder="1" applyAlignment="1">
      <alignment horizontal="center" vertical="center"/>
    </xf>
    <xf numFmtId="164" fontId="15" fillId="9" borderId="46" xfId="2" applyNumberFormat="1" applyFont="1" applyFill="1" applyBorder="1" applyAlignment="1">
      <alignment horizontal="center" vertical="center"/>
    </xf>
    <xf numFmtId="164" fontId="15" fillId="9" borderId="12" xfId="2" applyNumberFormat="1" applyFont="1" applyFill="1" applyBorder="1" applyAlignment="1">
      <alignment horizontal="center" vertical="center"/>
    </xf>
    <xf numFmtId="164" fontId="15" fillId="9" borderId="41" xfId="2" applyNumberFormat="1" applyFont="1" applyFill="1" applyBorder="1" applyAlignment="1">
      <alignment horizontal="center" vertical="center"/>
    </xf>
    <xf numFmtId="164" fontId="15" fillId="9" borderId="11" xfId="2" applyNumberFormat="1" applyFont="1" applyFill="1" applyBorder="1" applyAlignment="1">
      <alignment horizontal="center" vertical="center"/>
    </xf>
    <xf numFmtId="0" fontId="21" fillId="9" borderId="44" xfId="0" applyFont="1" applyFill="1" applyBorder="1" applyAlignment="1">
      <alignment horizontal="center" vertical="center"/>
    </xf>
    <xf numFmtId="0" fontId="21" fillId="9" borderId="9" xfId="0" applyFont="1" applyFill="1" applyBorder="1" applyAlignment="1">
      <alignment horizontal="center" vertical="center"/>
    </xf>
    <xf numFmtId="0" fontId="21" fillId="9" borderId="14" xfId="0" applyFont="1" applyFill="1" applyBorder="1" applyAlignment="1">
      <alignment horizontal="center" vertical="center"/>
    </xf>
    <xf numFmtId="0" fontId="21" fillId="9" borderId="15" xfId="0" applyFont="1" applyFill="1" applyBorder="1" applyAlignment="1">
      <alignment horizontal="center" vertical="center"/>
    </xf>
    <xf numFmtId="0" fontId="21" fillId="9" borderId="42" xfId="0" applyFont="1" applyFill="1" applyBorder="1" applyAlignment="1">
      <alignment horizontal="center" vertical="center"/>
    </xf>
    <xf numFmtId="0" fontId="21" fillId="9" borderId="50" xfId="0" applyFont="1" applyFill="1" applyBorder="1" applyAlignment="1">
      <alignment horizontal="center" vertical="center"/>
    </xf>
    <xf numFmtId="0" fontId="21" fillId="9" borderId="49" xfId="0" applyFont="1" applyFill="1" applyBorder="1" applyAlignment="1">
      <alignment horizontal="center" vertical="center"/>
    </xf>
    <xf numFmtId="0" fontId="21" fillId="9" borderId="53" xfId="0" applyFont="1" applyFill="1" applyBorder="1" applyAlignment="1">
      <alignment horizontal="center" vertical="center"/>
    </xf>
    <xf numFmtId="0" fontId="15" fillId="9" borderId="49" xfId="0" applyFont="1" applyFill="1" applyBorder="1" applyAlignment="1">
      <alignment horizontal="center" vertical="center"/>
    </xf>
    <xf numFmtId="0" fontId="15" fillId="9" borderId="50" xfId="0" applyFont="1" applyFill="1" applyBorder="1" applyAlignment="1">
      <alignment horizontal="center" vertical="center"/>
    </xf>
    <xf numFmtId="168" fontId="15" fillId="0" borderId="1" xfId="0" applyNumberFormat="1" applyFont="1" applyFill="1" applyBorder="1"/>
    <xf numFmtId="0" fontId="15" fillId="9" borderId="0" xfId="0" applyFont="1" applyFill="1" applyAlignment="1">
      <alignment horizontal="right" vertical="center" wrapText="1"/>
    </xf>
    <xf numFmtId="0" fontId="13" fillId="9" borderId="0" xfId="0" applyFont="1" applyFill="1" applyAlignment="1">
      <alignment horizontal="center"/>
    </xf>
    <xf numFmtId="0" fontId="13" fillId="9" borderId="0" xfId="0" applyFont="1" applyFill="1" applyAlignment="1">
      <alignment horizontal="right" vertical="center" wrapText="1"/>
    </xf>
    <xf numFmtId="0" fontId="13" fillId="9" borderId="0" xfId="0" applyFont="1" applyFill="1" applyAlignment="1">
      <alignment horizontal="right"/>
    </xf>
    <xf numFmtId="0" fontId="15" fillId="2" borderId="35" xfId="0" applyFont="1" applyFill="1" applyBorder="1" applyAlignment="1">
      <alignment horizontal="right" vertical="center" wrapText="1"/>
    </xf>
    <xf numFmtId="164" fontId="15" fillId="2" borderId="13" xfId="2" applyNumberFormat="1" applyFont="1" applyFill="1" applyBorder="1" applyAlignment="1">
      <alignment horizontal="center" vertical="center"/>
    </xf>
    <xf numFmtId="164" fontId="15" fillId="2" borderId="26" xfId="2" applyNumberFormat="1" applyFont="1" applyFill="1" applyBorder="1" applyAlignment="1">
      <alignment horizontal="center" vertical="center"/>
    </xf>
    <xf numFmtId="0" fontId="15" fillId="2" borderId="37" xfId="0" applyFont="1" applyFill="1" applyBorder="1" applyAlignment="1">
      <alignment horizontal="right" vertical="center"/>
    </xf>
    <xf numFmtId="165" fontId="15" fillId="2" borderId="9" xfId="1" applyNumberFormat="1" applyFont="1" applyFill="1" applyBorder="1"/>
    <xf numFmtId="165" fontId="15" fillId="2" borderId="28" xfId="1" applyNumberFormat="1" applyFont="1" applyFill="1" applyBorder="1"/>
    <xf numFmtId="165" fontId="13" fillId="2" borderId="9" xfId="1" applyNumberFormat="1" applyFont="1" applyFill="1" applyBorder="1"/>
    <xf numFmtId="165" fontId="13" fillId="2" borderId="28" xfId="1" applyNumberFormat="1" applyFont="1" applyFill="1" applyBorder="1" applyAlignment="1">
      <alignment horizontal="right" wrapText="1"/>
    </xf>
    <xf numFmtId="169" fontId="15" fillId="3" borderId="0" xfId="0" applyNumberFormat="1" applyFont="1" applyFill="1" applyBorder="1" applyAlignment="1">
      <alignment horizontal="center" vertical="center"/>
    </xf>
    <xf numFmtId="169" fontId="15" fillId="3" borderId="4" xfId="0" applyNumberFormat="1" applyFont="1" applyFill="1" applyBorder="1"/>
    <xf numFmtId="169" fontId="15" fillId="5" borderId="0" xfId="0" applyNumberFormat="1" applyFont="1" applyFill="1" applyBorder="1"/>
    <xf numFmtId="169" fontId="15" fillId="7" borderId="32" xfId="0" applyNumberFormat="1" applyFont="1" applyFill="1" applyBorder="1" applyProtection="1">
      <protection locked="0"/>
    </xf>
    <xf numFmtId="169" fontId="15" fillId="7" borderId="33" xfId="0" applyNumberFormat="1" applyFont="1" applyFill="1" applyBorder="1" applyProtection="1">
      <protection locked="0"/>
    </xf>
    <xf numFmtId="169" fontId="15" fillId="7" borderId="34" xfId="0" applyNumberFormat="1" applyFont="1" applyFill="1" applyBorder="1" applyProtection="1">
      <protection locked="0"/>
    </xf>
    <xf numFmtId="169" fontId="15" fillId="13" borderId="0" xfId="0" applyNumberFormat="1" applyFont="1" applyFill="1" applyBorder="1" applyProtection="1">
      <protection locked="0"/>
    </xf>
    <xf numFmtId="169" fontId="15" fillId="0" borderId="0" xfId="0" applyNumberFormat="1" applyFont="1" applyBorder="1" applyProtection="1">
      <protection locked="0"/>
    </xf>
    <xf numFmtId="169" fontId="15" fillId="7" borderId="34" xfId="0" applyNumberFormat="1" applyFont="1" applyFill="1" applyBorder="1"/>
    <xf numFmtId="170" fontId="15" fillId="3" borderId="0" xfId="0" applyNumberFormat="1" applyFont="1" applyFill="1"/>
    <xf numFmtId="168" fontId="15" fillId="13" borderId="0" xfId="0" applyNumberFormat="1" applyFont="1" applyFill="1" applyBorder="1"/>
    <xf numFmtId="0" fontId="31" fillId="3" borderId="0" xfId="0" applyFont="1" applyFill="1" applyAlignment="1">
      <alignment wrapText="1"/>
    </xf>
    <xf numFmtId="164" fontId="15" fillId="3" borderId="7" xfId="2" applyNumberFormat="1" applyFont="1" applyFill="1" applyBorder="1"/>
    <xf numFmtId="164" fontId="15" fillId="3" borderId="0" xfId="2" applyNumberFormat="1" applyFont="1" applyFill="1" applyAlignment="1">
      <alignment horizontal="right"/>
    </xf>
    <xf numFmtId="0" fontId="15" fillId="17" borderId="0" xfId="0" applyNumberFormat="1" applyFont="1" applyFill="1" applyBorder="1" applyAlignment="1">
      <alignment horizontal="left"/>
    </xf>
    <xf numFmtId="0" fontId="15" fillId="3" borderId="0" xfId="0" applyFont="1" applyFill="1" applyAlignment="1">
      <alignment horizontal="center"/>
    </xf>
    <xf numFmtId="0" fontId="16" fillId="5" borderId="0" xfId="0" applyFont="1" applyFill="1" applyBorder="1" applyAlignment="1"/>
    <xf numFmtId="0" fontId="11" fillId="3" borderId="0" xfId="0" applyFont="1" applyFill="1" applyAlignment="1">
      <alignment horizontal="center" vertical="center"/>
    </xf>
    <xf numFmtId="0" fontId="15" fillId="13" borderId="0" xfId="0" applyFont="1" applyFill="1" applyBorder="1" applyAlignment="1">
      <alignment vertical="center"/>
    </xf>
    <xf numFmtId="0" fontId="18" fillId="0" borderId="0" xfId="0" applyFont="1"/>
    <xf numFmtId="0" fontId="18" fillId="13" borderId="4" xfId="0" applyFont="1" applyFill="1" applyBorder="1" applyAlignment="1">
      <alignment horizontal="center"/>
    </xf>
    <xf numFmtId="0" fontId="18" fillId="13" borderId="4" xfId="0" applyFont="1" applyFill="1" applyBorder="1" applyAlignment="1">
      <alignment horizontal="right" vertical="center"/>
    </xf>
    <xf numFmtId="0" fontId="18" fillId="13" borderId="7" xfId="0" applyFont="1" applyFill="1" applyBorder="1" applyAlignment="1">
      <alignment horizontal="right"/>
    </xf>
    <xf numFmtId="0" fontId="18" fillId="13" borderId="0" xfId="0" applyFont="1" applyFill="1" applyAlignment="1">
      <alignment horizontal="right"/>
    </xf>
    <xf numFmtId="0" fontId="18" fillId="13" borderId="0" xfId="0" applyFont="1" applyFill="1" applyBorder="1" applyAlignment="1">
      <alignment vertical="center"/>
    </xf>
    <xf numFmtId="0" fontId="18" fillId="13" borderId="0" xfId="0" applyFont="1" applyFill="1" applyBorder="1" applyAlignment="1">
      <alignment horizontal="center"/>
    </xf>
    <xf numFmtId="0" fontId="18" fillId="13" borderId="0" xfId="0" applyFont="1" applyFill="1" applyBorder="1"/>
    <xf numFmtId="0" fontId="18" fillId="0" borderId="0" xfId="0" applyFont="1" applyAlignment="1">
      <alignment horizontal="right"/>
    </xf>
    <xf numFmtId="164" fontId="21" fillId="9" borderId="54" xfId="2" applyNumberFormat="1" applyFont="1" applyFill="1" applyBorder="1" applyAlignment="1">
      <alignment horizontal="center" vertical="center"/>
    </xf>
    <xf numFmtId="164" fontId="21" fillId="9" borderId="55" xfId="2" applyNumberFormat="1" applyFont="1" applyFill="1" applyBorder="1" applyAlignment="1">
      <alignment horizontal="center" vertical="center"/>
    </xf>
    <xf numFmtId="164" fontId="21" fillId="9" borderId="56" xfId="2" applyNumberFormat="1" applyFont="1" applyFill="1" applyBorder="1" applyAlignment="1">
      <alignment horizontal="center" vertical="center"/>
    </xf>
    <xf numFmtId="164" fontId="15" fillId="9" borderId="55" xfId="2" applyNumberFormat="1" applyFont="1" applyFill="1" applyBorder="1" applyAlignment="1">
      <alignment horizontal="center" vertical="center"/>
    </xf>
    <xf numFmtId="164" fontId="15" fillId="9" borderId="54" xfId="2" applyNumberFormat="1" applyFont="1" applyFill="1" applyBorder="1" applyAlignment="1">
      <alignment horizontal="center" vertical="center"/>
    </xf>
    <xf numFmtId="0" fontId="18" fillId="13" borderId="0" xfId="0" applyFont="1" applyFill="1" applyAlignment="1">
      <alignment horizontal="right" vertical="center"/>
    </xf>
    <xf numFmtId="0" fontId="18" fillId="13" borderId="0" xfId="0" applyFont="1" applyFill="1" applyAlignment="1">
      <alignment horizontal="center" wrapText="1"/>
    </xf>
    <xf numFmtId="0" fontId="18" fillId="13" borderId="0" xfId="0" applyFont="1" applyFill="1" applyAlignment="1">
      <alignment wrapText="1"/>
    </xf>
    <xf numFmtId="0" fontId="18" fillId="13" borderId="0" xfId="0" applyFont="1" applyFill="1" applyBorder="1" applyAlignment="1">
      <alignment horizontal="right"/>
    </xf>
    <xf numFmtId="0" fontId="18" fillId="13" borderId="0" xfId="0" applyFont="1" applyFill="1" applyBorder="1" applyAlignment="1">
      <alignment wrapText="1"/>
    </xf>
    <xf numFmtId="0" fontId="15" fillId="13" borderId="0" xfId="0" applyFont="1" applyFill="1" applyAlignment="1">
      <alignment horizontal="right"/>
    </xf>
    <xf numFmtId="0" fontId="20" fillId="13" borderId="0" xfId="0" applyFont="1" applyFill="1" applyAlignment="1">
      <alignment horizontal="left"/>
    </xf>
    <xf numFmtId="0" fontId="20" fillId="13" borderId="0" xfId="0" applyFont="1" applyFill="1"/>
    <xf numFmtId="0" fontId="18" fillId="13" borderId="0" xfId="0" applyFont="1" applyFill="1" applyAlignment="1">
      <alignment horizontal="left"/>
    </xf>
    <xf numFmtId="9" fontId="20" fillId="13" borderId="0" xfId="0" applyNumberFormat="1" applyFont="1" applyFill="1"/>
    <xf numFmtId="0" fontId="33" fillId="13" borderId="65" xfId="0" applyFont="1" applyFill="1" applyBorder="1" applyAlignment="1">
      <alignment horizontal="center" vertical="center"/>
    </xf>
    <xf numFmtId="0" fontId="33" fillId="13" borderId="4" xfId="0" applyFont="1" applyFill="1" applyBorder="1" applyAlignment="1">
      <alignment horizontal="center" vertical="center"/>
    </xf>
    <xf numFmtId="0" fontId="33" fillId="13" borderId="2" xfId="0" applyFont="1" applyFill="1" applyBorder="1" applyAlignment="1">
      <alignment horizontal="center" vertical="center"/>
    </xf>
    <xf numFmtId="164" fontId="18" fillId="11" borderId="1" xfId="2" applyNumberFormat="1" applyFont="1" applyFill="1" applyBorder="1"/>
    <xf numFmtId="2" fontId="15" fillId="11" borderId="1" xfId="0" applyNumberFormat="1" applyFont="1" applyFill="1" applyBorder="1"/>
    <xf numFmtId="10" fontId="15" fillId="7" borderId="20" xfId="0" applyNumberFormat="1" applyFont="1" applyFill="1" applyBorder="1" applyAlignment="1">
      <alignment horizontal="right"/>
    </xf>
    <xf numFmtId="10" fontId="15" fillId="7" borderId="7" xfId="1" applyNumberFormat="1" applyFont="1" applyFill="1" applyBorder="1" applyAlignment="1">
      <alignment horizontal="right"/>
    </xf>
    <xf numFmtId="10" fontId="15" fillId="7" borderId="21" xfId="1" applyNumberFormat="1" applyFont="1" applyFill="1" applyBorder="1" applyAlignment="1">
      <alignment horizontal="right"/>
    </xf>
    <xf numFmtId="10" fontId="15" fillId="7" borderId="30" xfId="1" applyNumberFormat="1" applyFont="1" applyFill="1" applyBorder="1" applyAlignment="1">
      <alignment horizontal="right"/>
    </xf>
    <xf numFmtId="10" fontId="15" fillId="7" borderId="20" xfId="1" applyNumberFormat="1" applyFont="1" applyFill="1" applyBorder="1" applyAlignment="1">
      <alignment horizontal="right"/>
    </xf>
    <xf numFmtId="10" fontId="15" fillId="9" borderId="20" xfId="1" applyNumberFormat="1" applyFont="1" applyFill="1" applyBorder="1" applyAlignment="1">
      <alignment horizontal="right"/>
    </xf>
    <xf numFmtId="10" fontId="15" fillId="9" borderId="7" xfId="1" applyNumberFormat="1" applyFont="1" applyFill="1" applyBorder="1" applyAlignment="1">
      <alignment horizontal="right"/>
    </xf>
    <xf numFmtId="10" fontId="15" fillId="9" borderId="21" xfId="1" applyNumberFormat="1" applyFont="1" applyFill="1" applyBorder="1" applyAlignment="1">
      <alignment horizontal="right"/>
    </xf>
    <xf numFmtId="10" fontId="15" fillId="9" borderId="30" xfId="1" applyNumberFormat="1" applyFont="1" applyFill="1" applyBorder="1" applyAlignment="1">
      <alignment horizontal="right"/>
    </xf>
    <xf numFmtId="168" fontId="15" fillId="7" borderId="0" xfId="0" applyNumberFormat="1" applyFont="1" applyFill="1" applyBorder="1" applyAlignment="1" applyProtection="1">
      <alignment horizontal="right"/>
      <protection locked="0"/>
    </xf>
    <xf numFmtId="168" fontId="15" fillId="7" borderId="9" xfId="0" applyNumberFormat="1" applyFont="1" applyFill="1" applyBorder="1" applyAlignment="1" applyProtection="1">
      <alignment horizontal="right"/>
      <protection locked="0"/>
    </xf>
    <xf numFmtId="168" fontId="15" fillId="7" borderId="27" xfId="0" applyNumberFormat="1" applyFont="1" applyFill="1" applyBorder="1" applyAlignment="1" applyProtection="1">
      <alignment horizontal="right"/>
      <protection locked="0"/>
    </xf>
    <xf numFmtId="164" fontId="15" fillId="7" borderId="16" xfId="2" applyNumberFormat="1" applyFont="1" applyFill="1" applyBorder="1" applyAlignment="1" applyProtection="1">
      <alignment horizontal="right"/>
      <protection locked="0"/>
    </xf>
    <xf numFmtId="0" fontId="15" fillId="13" borderId="35" xfId="0" applyFont="1" applyFill="1" applyBorder="1"/>
    <xf numFmtId="0" fontId="15" fillId="0" borderId="38" xfId="0" applyFont="1" applyBorder="1"/>
    <xf numFmtId="0" fontId="0" fillId="13" borderId="40" xfId="0" applyFill="1" applyBorder="1"/>
    <xf numFmtId="0" fontId="15" fillId="7" borderId="40" xfId="0" applyFont="1" applyFill="1" applyBorder="1"/>
    <xf numFmtId="0" fontId="15" fillId="7" borderId="25" xfId="0" applyFont="1" applyFill="1" applyBorder="1"/>
    <xf numFmtId="0" fontId="15" fillId="13" borderId="13" xfId="0" applyFont="1" applyFill="1" applyBorder="1" applyAlignment="1">
      <alignment horizontal="left"/>
    </xf>
    <xf numFmtId="0" fontId="15" fillId="13" borderId="26" xfId="0" applyFont="1" applyFill="1" applyBorder="1" applyAlignment="1">
      <alignment horizontal="left"/>
    </xf>
    <xf numFmtId="3" fontId="15" fillId="13" borderId="0" xfId="0" applyNumberFormat="1" applyFont="1" applyFill="1" applyBorder="1" applyAlignment="1">
      <alignment horizontal="left"/>
    </xf>
    <xf numFmtId="3" fontId="15" fillId="13" borderId="27" xfId="0" applyNumberFormat="1" applyFont="1" applyFill="1" applyBorder="1" applyAlignment="1">
      <alignment horizontal="left"/>
    </xf>
    <xf numFmtId="0" fontId="15" fillId="13" borderId="4" xfId="0" applyFont="1" applyFill="1" applyBorder="1"/>
    <xf numFmtId="10" fontId="15" fillId="13" borderId="0" xfId="0" applyNumberFormat="1" applyFont="1" applyFill="1" applyBorder="1"/>
    <xf numFmtId="165" fontId="15" fillId="13" borderId="0" xfId="1" applyNumberFormat="1" applyFont="1" applyFill="1" applyBorder="1"/>
    <xf numFmtId="11" fontId="15" fillId="13" borderId="0" xfId="1" applyNumberFormat="1" applyFont="1" applyFill="1" applyBorder="1" applyAlignment="1">
      <alignment horizontal="right"/>
    </xf>
    <xf numFmtId="165" fontId="15" fillId="13" borderId="0" xfId="0" applyNumberFormat="1" applyFont="1" applyFill="1" applyBorder="1"/>
    <xf numFmtId="43" fontId="15" fillId="13" borderId="0" xfId="2" applyFont="1" applyFill="1" applyBorder="1" applyAlignment="1" applyProtection="1">
      <alignment horizontal="right"/>
      <protection locked="0"/>
    </xf>
    <xf numFmtId="165" fontId="15" fillId="0" borderId="0" xfId="1" applyNumberFormat="1" applyFont="1"/>
    <xf numFmtId="10" fontId="15" fillId="8" borderId="11" xfId="1" applyNumberFormat="1" applyFont="1" applyFill="1" applyBorder="1"/>
    <xf numFmtId="10" fontId="15" fillId="8" borderId="0" xfId="1" applyNumberFormat="1" applyFont="1" applyFill="1" applyBorder="1"/>
    <xf numFmtId="10" fontId="15" fillId="8" borderId="3" xfId="1" applyNumberFormat="1" applyFont="1" applyFill="1" applyBorder="1"/>
    <xf numFmtId="10" fontId="15" fillId="13" borderId="12" xfId="1" applyNumberFormat="1" applyFont="1" applyFill="1" applyBorder="1" applyAlignment="1">
      <alignment horizontal="right"/>
    </xf>
    <xf numFmtId="10" fontId="15" fillId="13" borderId="13" xfId="1" applyNumberFormat="1" applyFont="1" applyFill="1" applyBorder="1" applyAlignment="1">
      <alignment horizontal="right"/>
    </xf>
    <xf numFmtId="10" fontId="15" fillId="13" borderId="16" xfId="1" applyNumberFormat="1" applyFont="1" applyFill="1" applyBorder="1" applyAlignment="1">
      <alignment horizontal="right"/>
    </xf>
    <xf numFmtId="10" fontId="15" fillId="8" borderId="12" xfId="1" applyNumberFormat="1" applyFont="1" applyFill="1" applyBorder="1"/>
    <xf numFmtId="10" fontId="15" fillId="8" borderId="13" xfId="1" applyNumberFormat="1" applyFont="1" applyFill="1" applyBorder="1"/>
    <xf numFmtId="10" fontId="15" fillId="8" borderId="26" xfId="1" applyNumberFormat="1" applyFont="1" applyFill="1" applyBorder="1"/>
    <xf numFmtId="10" fontId="15" fillId="13" borderId="27" xfId="1" applyNumberFormat="1" applyFont="1" applyFill="1" applyBorder="1"/>
    <xf numFmtId="10" fontId="15" fillId="13" borderId="15" xfId="1" applyNumberFormat="1" applyFont="1" applyFill="1" applyBorder="1"/>
    <xf numFmtId="10" fontId="15" fillId="13" borderId="9" xfId="1" applyNumberFormat="1" applyFont="1" applyFill="1" applyBorder="1"/>
    <xf numFmtId="10" fontId="15" fillId="13" borderId="28" xfId="1" applyNumberFormat="1" applyFont="1" applyFill="1" applyBorder="1"/>
    <xf numFmtId="10" fontId="15" fillId="13" borderId="12" xfId="1" applyNumberFormat="1" applyFont="1" applyFill="1" applyBorder="1"/>
    <xf numFmtId="10" fontId="15" fillId="13" borderId="13" xfId="1" applyNumberFormat="1" applyFont="1" applyFill="1" applyBorder="1"/>
    <xf numFmtId="10" fontId="15" fillId="13" borderId="16" xfId="1" applyNumberFormat="1" applyFont="1" applyFill="1" applyBorder="1"/>
    <xf numFmtId="10" fontId="15" fillId="13" borderId="3" xfId="1" applyNumberFormat="1" applyFont="1" applyFill="1" applyBorder="1"/>
    <xf numFmtId="172" fontId="15" fillId="13" borderId="0" xfId="2" applyNumberFormat="1" applyFont="1" applyFill="1" applyBorder="1"/>
    <xf numFmtId="171" fontId="15" fillId="13" borderId="0" xfId="0" applyNumberFormat="1" applyFont="1" applyFill="1" applyBorder="1"/>
    <xf numFmtId="173" fontId="15" fillId="13" borderId="0" xfId="1" applyNumberFormat="1" applyFont="1" applyFill="1" applyBorder="1" applyProtection="1">
      <protection locked="0"/>
    </xf>
    <xf numFmtId="174" fontId="15" fillId="3" borderId="0" xfId="0" applyNumberFormat="1" applyFont="1" applyFill="1"/>
    <xf numFmtId="0" fontId="34" fillId="9" borderId="0" xfId="0" applyFont="1" applyFill="1" applyAlignment="1">
      <alignment horizontal="center" vertical="center"/>
    </xf>
    <xf numFmtId="0" fontId="16" fillId="17" borderId="0" xfId="0" applyFont="1" applyFill="1" applyAlignment="1">
      <alignment horizontal="center"/>
    </xf>
    <xf numFmtId="0" fontId="15" fillId="3" borderId="0" xfId="0" applyFont="1" applyFill="1" applyAlignment="1">
      <alignment horizontal="right"/>
    </xf>
    <xf numFmtId="0" fontId="21" fillId="3" borderId="0" xfId="0" applyFont="1" applyFill="1" applyBorder="1" applyAlignment="1">
      <alignment horizontal="center" vertical="center"/>
    </xf>
    <xf numFmtId="0" fontId="21" fillId="9" borderId="0" xfId="0" applyFont="1" applyFill="1" applyBorder="1" applyAlignment="1">
      <alignment horizontal="center" vertical="center"/>
    </xf>
    <xf numFmtId="0" fontId="16" fillId="16" borderId="0" xfId="0" applyFont="1" applyFill="1" applyBorder="1" applyAlignment="1">
      <alignment horizontal="center" vertical="center"/>
    </xf>
    <xf numFmtId="0" fontId="34" fillId="9" borderId="0" xfId="0" applyFont="1" applyFill="1" applyAlignment="1">
      <alignment vertical="center"/>
    </xf>
    <xf numFmtId="0" fontId="34" fillId="3" borderId="0" xfId="0" applyFont="1" applyFill="1" applyAlignment="1">
      <alignment vertical="center"/>
    </xf>
    <xf numFmtId="0" fontId="22" fillId="3" borderId="0" xfId="0" applyFont="1" applyFill="1" applyAlignment="1">
      <alignment horizontal="center"/>
    </xf>
    <xf numFmtId="0" fontId="15" fillId="3" borderId="0" xfId="0" applyFont="1" applyFill="1" applyBorder="1" applyAlignment="1">
      <alignment horizontal="center" vertical="center" wrapText="1"/>
    </xf>
    <xf numFmtId="0" fontId="15" fillId="3" borderId="0" xfId="0" applyFont="1" applyFill="1" applyAlignment="1">
      <alignment horizontal="right"/>
    </xf>
    <xf numFmtId="0" fontId="13" fillId="9" borderId="0" xfId="0" applyFont="1" applyFill="1" applyAlignment="1">
      <alignment horizontal="center" vertical="center"/>
    </xf>
    <xf numFmtId="0" fontId="21" fillId="9" borderId="0" xfId="0" applyFont="1" applyFill="1" applyBorder="1" applyAlignment="1">
      <alignment horizontal="center" vertical="center"/>
    </xf>
    <xf numFmtId="0" fontId="16" fillId="16" borderId="0" xfId="0" applyFont="1" applyFill="1" applyBorder="1" applyAlignment="1">
      <alignment horizontal="center" vertical="center"/>
    </xf>
    <xf numFmtId="0" fontId="16" fillId="20" borderId="0" xfId="0" applyFont="1" applyFill="1" applyBorder="1" applyAlignment="1">
      <alignment horizontal="center" vertical="center"/>
    </xf>
    <xf numFmtId="0" fontId="15" fillId="17" borderId="0" xfId="0" applyFont="1" applyFill="1" applyAlignment="1">
      <alignment horizontal="center" vertical="center"/>
    </xf>
    <xf numFmtId="0" fontId="16" fillId="16" borderId="0" xfId="0" applyFont="1" applyFill="1" applyAlignment="1">
      <alignment horizontal="center" vertical="center"/>
    </xf>
    <xf numFmtId="0" fontId="15" fillId="17" borderId="0" xfId="0" applyFont="1" applyFill="1" applyBorder="1" applyAlignment="1"/>
    <xf numFmtId="0" fontId="16" fillId="14" borderId="0" xfId="0" applyFont="1" applyFill="1" applyAlignment="1">
      <alignment horizontal="center" vertical="center"/>
    </xf>
    <xf numFmtId="0" fontId="15" fillId="3" borderId="0" xfId="0" applyFont="1" applyFill="1" applyAlignment="1">
      <alignment horizontal="center"/>
    </xf>
    <xf numFmtId="0" fontId="36" fillId="3" borderId="0" xfId="0" applyFont="1" applyFill="1" applyAlignment="1">
      <alignment horizontal="center" vertical="center"/>
    </xf>
    <xf numFmtId="0" fontId="35" fillId="9" borderId="0" xfId="0" applyFont="1" applyFill="1" applyAlignment="1">
      <alignment horizontal="center" vertical="center"/>
    </xf>
    <xf numFmtId="0" fontId="36" fillId="9" borderId="0" xfId="0" applyFont="1" applyFill="1" applyAlignment="1">
      <alignment horizontal="left" vertical="center"/>
    </xf>
    <xf numFmtId="0" fontId="36" fillId="9" borderId="0" xfId="0" applyFont="1" applyFill="1" applyAlignment="1">
      <alignment horizontal="center" vertical="center"/>
    </xf>
    <xf numFmtId="0" fontId="15" fillId="9" borderId="0" xfId="0" applyFont="1" applyFill="1" applyAlignment="1">
      <alignment horizontal="center" vertical="center"/>
    </xf>
    <xf numFmtId="0" fontId="13" fillId="9" borderId="0" xfId="0" applyFont="1" applyFill="1"/>
    <xf numFmtId="0" fontId="14" fillId="3" borderId="0" xfId="0" applyFont="1" applyFill="1" applyAlignment="1">
      <alignment vertical="top" wrapText="1"/>
    </xf>
    <xf numFmtId="0" fontId="14" fillId="3" borderId="0" xfId="0" applyFont="1" applyFill="1" applyAlignment="1">
      <alignment vertical="top"/>
    </xf>
    <xf numFmtId="0" fontId="15" fillId="3" borderId="0" xfId="0" applyFont="1" applyFill="1" applyAlignment="1">
      <alignment vertical="top"/>
    </xf>
    <xf numFmtId="0" fontId="19" fillId="3" borderId="0" xfId="0" applyFont="1" applyFill="1" applyAlignment="1">
      <alignment vertical="top"/>
    </xf>
    <xf numFmtId="164" fontId="15" fillId="3" borderId="0" xfId="2" applyNumberFormat="1" applyFont="1" applyFill="1" applyAlignment="1">
      <alignment horizontal="center"/>
    </xf>
    <xf numFmtId="0" fontId="36" fillId="9" borderId="0" xfId="0" applyFont="1" applyFill="1" applyAlignment="1">
      <alignment horizontal="center"/>
    </xf>
    <xf numFmtId="0" fontId="11" fillId="9" borderId="0" xfId="0" applyFont="1" applyFill="1"/>
    <xf numFmtId="0" fontId="39" fillId="9" borderId="0" xfId="0" applyFont="1" applyFill="1" applyAlignment="1">
      <alignment horizontal="center"/>
    </xf>
    <xf numFmtId="0" fontId="39" fillId="9" borderId="0" xfId="0" applyFont="1" applyFill="1" applyAlignment="1">
      <alignment horizontal="center" vertical="top"/>
    </xf>
    <xf numFmtId="0" fontId="15" fillId="9" borderId="0" xfId="0" applyFont="1" applyFill="1" applyAlignment="1">
      <alignment vertical="top"/>
    </xf>
    <xf numFmtId="0" fontId="36" fillId="9" borderId="0" xfId="0" applyFont="1" applyFill="1" applyAlignment="1">
      <alignment horizontal="center" vertical="top"/>
    </xf>
    <xf numFmtId="0" fontId="13" fillId="3" borderId="0" xfId="0" applyFont="1" applyFill="1" applyAlignment="1">
      <alignment vertical="center" wrapText="1"/>
    </xf>
    <xf numFmtId="0" fontId="13" fillId="3" borderId="0" xfId="0" applyFont="1" applyFill="1" applyAlignment="1">
      <alignment vertical="center"/>
    </xf>
    <xf numFmtId="0" fontId="13" fillId="3" borderId="0" xfId="0" applyFont="1" applyFill="1" applyAlignment="1">
      <alignment vertical="top"/>
    </xf>
    <xf numFmtId="0" fontId="13" fillId="3" borderId="0" xfId="0" applyFont="1" applyFill="1" applyAlignment="1">
      <alignment vertical="top" wrapText="1"/>
    </xf>
    <xf numFmtId="0" fontId="40" fillId="3" borderId="0" xfId="0" applyFont="1" applyFill="1"/>
    <xf numFmtId="0" fontId="35" fillId="9" borderId="0" xfId="0" applyFont="1" applyFill="1" applyAlignment="1">
      <alignment horizontal="center" vertical="top"/>
    </xf>
    <xf numFmtId="0" fontId="41" fillId="9" borderId="0" xfId="0" applyFont="1" applyFill="1" applyAlignment="1">
      <alignment horizontal="center" vertical="top"/>
    </xf>
    <xf numFmtId="0" fontId="36" fillId="9" borderId="4" xfId="0" applyFont="1" applyFill="1" applyBorder="1" applyAlignment="1">
      <alignment horizontal="center" vertical="center"/>
    </xf>
    <xf numFmtId="0" fontId="13" fillId="3" borderId="0" xfId="0" applyFont="1" applyFill="1" applyAlignment="1">
      <alignment horizontal="left" vertical="center"/>
    </xf>
    <xf numFmtId="0" fontId="11" fillId="3" borderId="0" xfId="0" applyFont="1" applyFill="1" applyAlignment="1">
      <alignment horizontal="left" vertical="top"/>
    </xf>
    <xf numFmtId="0" fontId="16" fillId="9" borderId="0" xfId="0" applyFont="1" applyFill="1" applyAlignment="1">
      <alignment horizontal="center" vertical="center"/>
    </xf>
    <xf numFmtId="0" fontId="43" fillId="9" borderId="0" xfId="0" applyFont="1" applyFill="1" applyAlignment="1">
      <alignment horizontal="center" vertical="center"/>
    </xf>
    <xf numFmtId="0" fontId="19" fillId="3" borderId="4" xfId="0" applyFont="1" applyFill="1" applyBorder="1"/>
    <xf numFmtId="0" fontId="44" fillId="9" borderId="0" xfId="0" applyFont="1" applyFill="1" applyAlignment="1">
      <alignment horizontal="center" vertical="center"/>
    </xf>
    <xf numFmtId="0" fontId="44" fillId="9" borderId="0" xfId="0" applyFont="1" applyFill="1" applyAlignment="1">
      <alignment horizontal="right" vertical="center"/>
    </xf>
    <xf numFmtId="0" fontId="11" fillId="3" borderId="0" xfId="0" applyFont="1" applyFill="1" applyBorder="1" applyAlignment="1">
      <alignment vertical="center"/>
    </xf>
    <xf numFmtId="0" fontId="11" fillId="9" borderId="0" xfId="0" applyFont="1" applyFill="1" applyBorder="1" applyAlignment="1">
      <alignment vertical="center"/>
    </xf>
    <xf numFmtId="0" fontId="21" fillId="9" borderId="43" xfId="0" applyFont="1" applyFill="1" applyBorder="1" applyAlignment="1">
      <alignment vertical="center"/>
    </xf>
    <xf numFmtId="0" fontId="21" fillId="9" borderId="0" xfId="0" applyFont="1" applyFill="1" applyBorder="1" applyAlignment="1">
      <alignment vertical="center"/>
    </xf>
    <xf numFmtId="0" fontId="21" fillId="9" borderId="3" xfId="0" applyFont="1" applyFill="1" applyBorder="1" applyAlignment="1">
      <alignment vertical="center"/>
    </xf>
    <xf numFmtId="0" fontId="21" fillId="9" borderId="11" xfId="0" applyFont="1" applyFill="1" applyBorder="1" applyAlignment="1">
      <alignment vertical="center"/>
    </xf>
    <xf numFmtId="0" fontId="21" fillId="9" borderId="41" xfId="0" applyFont="1" applyFill="1" applyBorder="1" applyAlignment="1">
      <alignment vertical="center"/>
    </xf>
    <xf numFmtId="0" fontId="21" fillId="9" borderId="0" xfId="0" applyFont="1" applyFill="1" applyBorder="1" applyAlignment="1">
      <alignment horizontal="left" vertical="center"/>
    </xf>
    <xf numFmtId="0" fontId="21" fillId="9" borderId="67" xfId="0" applyFont="1" applyFill="1" applyBorder="1" applyAlignment="1">
      <alignment horizontal="left" vertical="center"/>
    </xf>
    <xf numFmtId="0" fontId="16" fillId="16" borderId="43" xfId="0" applyFont="1" applyFill="1" applyBorder="1" applyAlignment="1">
      <alignment vertical="center"/>
    </xf>
    <xf numFmtId="0" fontId="16" fillId="16" borderId="0" xfId="0" applyFont="1" applyFill="1" applyBorder="1" applyAlignment="1">
      <alignment vertical="center"/>
    </xf>
    <xf numFmtId="0" fontId="16" fillId="16" borderId="41" xfId="0" applyFont="1" applyFill="1" applyBorder="1" applyAlignment="1">
      <alignment vertical="center"/>
    </xf>
    <xf numFmtId="0" fontId="16" fillId="20" borderId="0" xfId="0" applyFont="1" applyFill="1" applyBorder="1" applyAlignment="1">
      <alignment vertical="center"/>
    </xf>
    <xf numFmtId="0" fontId="16" fillId="20" borderId="3" xfId="0" applyFont="1" applyFill="1" applyBorder="1" applyAlignment="1">
      <alignment vertical="center"/>
    </xf>
    <xf numFmtId="0" fontId="16" fillId="20" borderId="11" xfId="0" applyFont="1" applyFill="1" applyBorder="1" applyAlignment="1">
      <alignment vertical="center"/>
    </xf>
    <xf numFmtId="0" fontId="16" fillId="20" borderId="0" xfId="0" applyFont="1" applyFill="1" applyBorder="1" applyAlignment="1">
      <alignment horizontal="right" vertical="center"/>
    </xf>
    <xf numFmtId="164" fontId="21" fillId="9" borderId="5" xfId="2" applyNumberFormat="1" applyFont="1" applyFill="1" applyBorder="1" applyAlignment="1">
      <alignment vertical="center"/>
    </xf>
    <xf numFmtId="164" fontId="21" fillId="9" borderId="0" xfId="2" applyNumberFormat="1" applyFont="1" applyFill="1" applyBorder="1" applyAlignment="1">
      <alignment vertical="center"/>
    </xf>
    <xf numFmtId="0" fontId="16" fillId="14" borderId="0" xfId="0" applyFont="1" applyFill="1" applyAlignment="1">
      <alignment vertical="center"/>
    </xf>
    <xf numFmtId="0" fontId="15" fillId="2" borderId="0" xfId="0" applyFont="1" applyFill="1"/>
    <xf numFmtId="0" fontId="35" fillId="2" borderId="0" xfId="0" applyFont="1" applyFill="1" applyAlignment="1">
      <alignment horizontal="center"/>
    </xf>
    <xf numFmtId="0" fontId="35" fillId="2" borderId="0" xfId="0" applyFont="1" applyFill="1" applyAlignment="1">
      <alignment horizontal="center" vertical="center"/>
    </xf>
    <xf numFmtId="0" fontId="35" fillId="9" borderId="0" xfId="0" applyFont="1" applyFill="1" applyAlignment="1">
      <alignment horizontal="center"/>
    </xf>
    <xf numFmtId="0" fontId="16" fillId="17" borderId="0" xfId="0" applyFont="1" applyFill="1" applyAlignment="1"/>
    <xf numFmtId="0" fontId="15" fillId="5" borderId="0" xfId="0" applyFont="1" applyFill="1" applyBorder="1" applyAlignment="1">
      <alignment vertical="center"/>
    </xf>
    <xf numFmtId="0" fontId="15" fillId="2" borderId="0" xfId="0" applyFont="1" applyFill="1" applyBorder="1"/>
    <xf numFmtId="0" fontId="15" fillId="2" borderId="0" xfId="0" applyFont="1" applyFill="1" applyBorder="1" applyAlignment="1">
      <alignment horizontal="center"/>
    </xf>
    <xf numFmtId="0" fontId="15" fillId="2" borderId="0" xfId="0" applyFont="1" applyFill="1" applyBorder="1" applyAlignment="1">
      <alignment vertical="center"/>
    </xf>
    <xf numFmtId="0" fontId="15" fillId="2" borderId="0" xfId="0" applyFont="1" applyFill="1" applyBorder="1" applyAlignment="1">
      <alignment horizontal="right"/>
    </xf>
    <xf numFmtId="0" fontId="15" fillId="2" borderId="0" xfId="0" applyNumberFormat="1" applyFont="1" applyFill="1" applyBorder="1"/>
    <xf numFmtId="0" fontId="15" fillId="9" borderId="0" xfId="0" applyFont="1" applyFill="1" applyBorder="1"/>
    <xf numFmtId="0" fontId="15" fillId="3" borderId="0" xfId="0" applyFont="1" applyFill="1" applyBorder="1" applyAlignment="1">
      <alignment vertical="center"/>
    </xf>
    <xf numFmtId="0" fontId="35" fillId="2" borderId="0" xfId="0" applyFont="1" applyFill="1" applyAlignment="1">
      <alignment horizontal="center" vertical="top"/>
    </xf>
    <xf numFmtId="0" fontId="16" fillId="2" borderId="0" xfId="0" applyFont="1" applyFill="1" applyBorder="1" applyAlignment="1">
      <alignment vertical="center"/>
    </xf>
    <xf numFmtId="0" fontId="15" fillId="2" borderId="0" xfId="0" applyFont="1" applyFill="1" applyAlignment="1">
      <alignment vertical="center"/>
    </xf>
    <xf numFmtId="0" fontId="15" fillId="2" borderId="0" xfId="0" applyFont="1" applyFill="1" applyAlignment="1">
      <alignment horizontal="right" vertical="center"/>
    </xf>
    <xf numFmtId="0" fontId="16" fillId="2" borderId="0" xfId="0" applyFont="1" applyFill="1" applyAlignment="1">
      <alignment vertical="center"/>
    </xf>
    <xf numFmtId="0" fontId="16" fillId="16" borderId="0" xfId="0" applyFont="1" applyFill="1" applyAlignment="1">
      <alignment vertical="center"/>
    </xf>
    <xf numFmtId="0" fontId="15" fillId="3" borderId="0" xfId="0" applyFont="1" applyFill="1" applyBorder="1" applyAlignment="1"/>
    <xf numFmtId="0" fontId="16" fillId="19" borderId="0" xfId="0" applyFont="1" applyFill="1" applyAlignment="1"/>
    <xf numFmtId="0" fontId="45" fillId="9" borderId="0" xfId="0" applyFont="1" applyFill="1" applyAlignment="1">
      <alignment horizontal="center"/>
    </xf>
    <xf numFmtId="0" fontId="41" fillId="9" borderId="0" xfId="0" applyFont="1" applyFill="1" applyAlignment="1">
      <alignment horizontal="center"/>
    </xf>
    <xf numFmtId="0" fontId="41" fillId="9" borderId="0" xfId="0" applyFont="1" applyFill="1" applyAlignment="1">
      <alignment horizontal="center" vertical="center"/>
    </xf>
    <xf numFmtId="0" fontId="15" fillId="9" borderId="4" xfId="0" applyFont="1" applyFill="1" applyBorder="1"/>
    <xf numFmtId="0" fontId="36" fillId="9" borderId="4" xfId="0" applyFont="1" applyFill="1" applyBorder="1" applyAlignment="1">
      <alignment horizontal="left" vertical="center"/>
    </xf>
    <xf numFmtId="0" fontId="45" fillId="9" borderId="0" xfId="0" applyFont="1" applyFill="1" applyAlignment="1">
      <alignment horizontal="center" vertical="center"/>
    </xf>
    <xf numFmtId="0" fontId="41" fillId="9" borderId="0" xfId="0" applyFont="1" applyFill="1" applyAlignment="1">
      <alignment horizontal="left" vertical="center"/>
    </xf>
    <xf numFmtId="0" fontId="0" fillId="9" borderId="0" xfId="0" applyFill="1"/>
    <xf numFmtId="0" fontId="41" fillId="9" borderId="0" xfId="0" applyFont="1" applyFill="1" applyAlignment="1">
      <alignment horizontal="left"/>
    </xf>
    <xf numFmtId="0" fontId="15" fillId="17" borderId="0" xfId="0" applyFont="1" applyFill="1" applyAlignment="1">
      <alignment vertical="center"/>
    </xf>
    <xf numFmtId="0" fontId="21" fillId="11" borderId="13" xfId="0" applyFont="1" applyFill="1" applyBorder="1" applyAlignment="1">
      <alignment vertical="center"/>
    </xf>
    <xf numFmtId="0" fontId="21" fillId="11" borderId="0" xfId="0" applyFont="1" applyFill="1" applyBorder="1" applyAlignment="1">
      <alignment vertical="center"/>
    </xf>
    <xf numFmtId="0" fontId="22" fillId="13" borderId="35" xfId="0" applyFont="1" applyFill="1" applyBorder="1" applyAlignment="1">
      <alignment vertical="center"/>
    </xf>
    <xf numFmtId="0" fontId="15" fillId="13" borderId="13" xfId="0" applyFont="1" applyFill="1" applyBorder="1" applyAlignment="1">
      <alignment vertical="center"/>
    </xf>
    <xf numFmtId="0" fontId="15" fillId="13" borderId="36" xfId="0" applyFont="1" applyFill="1" applyBorder="1" applyAlignment="1">
      <alignment vertical="center"/>
    </xf>
    <xf numFmtId="0" fontId="15" fillId="13" borderId="37" xfId="0" applyFont="1" applyFill="1" applyBorder="1" applyAlignment="1">
      <alignment vertical="center"/>
    </xf>
    <xf numFmtId="0" fontId="21" fillId="11" borderId="0" xfId="0" applyFont="1" applyFill="1" applyBorder="1" applyAlignment="1"/>
    <xf numFmtId="0" fontId="15" fillId="11" borderId="0" xfId="0" applyFont="1" applyFill="1"/>
    <xf numFmtId="0" fontId="21" fillId="11" borderId="16" xfId="0" applyFont="1" applyFill="1" applyBorder="1" applyAlignment="1">
      <alignment vertical="center"/>
    </xf>
    <xf numFmtId="0" fontId="21" fillId="11" borderId="3" xfId="0" applyFont="1" applyFill="1" applyBorder="1" applyAlignment="1">
      <alignment vertical="center"/>
    </xf>
    <xf numFmtId="0" fontId="21" fillId="11" borderId="14" xfId="0" applyFont="1" applyFill="1" applyBorder="1" applyAlignment="1">
      <alignment horizontal="center" vertical="center"/>
    </xf>
    <xf numFmtId="164" fontId="15" fillId="7" borderId="10" xfId="2" applyNumberFormat="1" applyFont="1" applyFill="1" applyBorder="1" applyAlignment="1" applyProtection="1">
      <alignment horizontal="right"/>
      <protection locked="0"/>
    </xf>
    <xf numFmtId="0" fontId="15" fillId="7" borderId="10" xfId="0" applyFont="1" applyFill="1" applyBorder="1"/>
    <xf numFmtId="0" fontId="15" fillId="13" borderId="16" xfId="0" applyFont="1" applyFill="1" applyBorder="1" applyAlignment="1" applyProtection="1">
      <alignment horizontal="right"/>
      <protection locked="0"/>
    </xf>
    <xf numFmtId="2" fontId="15" fillId="7" borderId="3" xfId="0" applyNumberFormat="1" applyFont="1" applyFill="1" applyBorder="1" applyProtection="1">
      <protection locked="0"/>
    </xf>
    <xf numFmtId="2" fontId="15" fillId="7" borderId="14" xfId="0" applyNumberFormat="1" applyFont="1" applyFill="1" applyBorder="1" applyProtection="1">
      <protection locked="0"/>
    </xf>
    <xf numFmtId="0" fontId="15" fillId="13" borderId="3" xfId="0" applyFont="1" applyFill="1" applyBorder="1" applyAlignment="1" applyProtection="1">
      <alignment horizontal="right"/>
      <protection locked="0"/>
    </xf>
    <xf numFmtId="168" fontId="15" fillId="7" borderId="3" xfId="0" applyNumberFormat="1" applyFont="1" applyFill="1" applyBorder="1" applyAlignment="1" applyProtection="1">
      <alignment horizontal="right"/>
      <protection locked="0"/>
    </xf>
    <xf numFmtId="168" fontId="15" fillId="7" borderId="14" xfId="0" applyNumberFormat="1" applyFont="1" applyFill="1" applyBorder="1" applyAlignment="1" applyProtection="1">
      <alignment horizontal="right"/>
      <protection locked="0"/>
    </xf>
    <xf numFmtId="0" fontId="15" fillId="13" borderId="3" xfId="0" applyFont="1" applyFill="1" applyBorder="1" applyProtection="1">
      <protection locked="0"/>
    </xf>
    <xf numFmtId="0" fontId="15" fillId="13" borderId="14" xfId="0" applyFont="1" applyFill="1" applyBorder="1" applyProtection="1">
      <protection locked="0"/>
    </xf>
    <xf numFmtId="0" fontId="15" fillId="13" borderId="10" xfId="0" applyFont="1" applyFill="1" applyBorder="1"/>
    <xf numFmtId="0" fontId="0" fillId="13" borderId="10" xfId="0" applyFill="1" applyBorder="1"/>
    <xf numFmtId="0" fontId="15" fillId="13" borderId="16" xfId="0" applyFont="1" applyFill="1" applyBorder="1" applyAlignment="1">
      <alignment vertical="center"/>
    </xf>
    <xf numFmtId="0" fontId="15" fillId="13" borderId="3" xfId="0" applyFont="1" applyFill="1" applyBorder="1" applyAlignment="1">
      <alignment vertical="center"/>
    </xf>
    <xf numFmtId="0" fontId="15" fillId="13" borderId="14" xfId="0" applyFont="1" applyFill="1" applyBorder="1" applyAlignment="1">
      <alignment vertical="center"/>
    </xf>
    <xf numFmtId="0" fontId="15" fillId="12" borderId="26" xfId="0" applyFont="1" applyFill="1" applyBorder="1" applyAlignment="1">
      <alignment vertical="center" wrapText="1"/>
    </xf>
    <xf numFmtId="0" fontId="15" fillId="12" borderId="36" xfId="0" applyFont="1" applyFill="1" applyBorder="1" applyAlignment="1">
      <alignment vertical="center" wrapText="1"/>
    </xf>
    <xf numFmtId="0" fontId="15" fillId="12" borderId="27" xfId="0" applyFont="1" applyFill="1" applyBorder="1" applyAlignment="1">
      <alignment vertical="center" wrapText="1"/>
    </xf>
    <xf numFmtId="0" fontId="15" fillId="12" borderId="37" xfId="0" applyFont="1" applyFill="1" applyBorder="1" applyAlignment="1">
      <alignment vertical="center" wrapText="1"/>
    </xf>
    <xf numFmtId="0" fontId="15" fillId="12" borderId="28" xfId="0" applyFont="1" applyFill="1" applyBorder="1" applyAlignment="1">
      <alignment vertical="center" wrapText="1"/>
    </xf>
    <xf numFmtId="0" fontId="15" fillId="12" borderId="35" xfId="0" applyFont="1" applyFill="1" applyBorder="1" applyAlignment="1">
      <alignment horizontal="left" vertical="center"/>
    </xf>
    <xf numFmtId="0" fontId="15" fillId="12" borderId="36" xfId="0" applyFont="1" applyFill="1" applyBorder="1" applyAlignment="1">
      <alignment horizontal="left" vertical="center"/>
    </xf>
    <xf numFmtId="0" fontId="15" fillId="12" borderId="36" xfId="0" applyFont="1" applyFill="1" applyBorder="1" applyAlignment="1">
      <alignment horizontal="left" vertical="center" wrapText="1"/>
    </xf>
    <xf numFmtId="0" fontId="15" fillId="12" borderId="0" xfId="0" applyFont="1" applyFill="1" applyBorder="1" applyAlignment="1">
      <alignment horizontal="left" vertical="center"/>
    </xf>
    <xf numFmtId="0" fontId="15" fillId="10" borderId="36" xfId="0" applyFont="1" applyFill="1" applyBorder="1" applyAlignment="1">
      <alignment vertical="center"/>
    </xf>
    <xf numFmtId="0" fontId="15" fillId="10" borderId="3" xfId="0" applyFont="1" applyFill="1" applyBorder="1" applyAlignment="1">
      <alignment vertical="center"/>
    </xf>
    <xf numFmtId="0" fontId="15" fillId="10" borderId="37" xfId="0" applyFont="1" applyFill="1" applyBorder="1" applyAlignment="1">
      <alignment vertical="center"/>
    </xf>
    <xf numFmtId="0" fontId="15" fillId="10" borderId="14" xfId="0" applyFont="1" applyFill="1" applyBorder="1" applyAlignment="1">
      <alignment vertical="center"/>
    </xf>
    <xf numFmtId="0" fontId="15" fillId="10" borderId="36" xfId="0" applyFont="1" applyFill="1" applyBorder="1" applyAlignment="1">
      <alignment horizontal="left" vertical="center"/>
    </xf>
    <xf numFmtId="0" fontId="15" fillId="10" borderId="35" xfId="0" applyFont="1" applyFill="1" applyBorder="1" applyAlignment="1">
      <alignment vertical="center"/>
    </xf>
    <xf numFmtId="0" fontId="15" fillId="10" borderId="16" xfId="0" applyFont="1" applyFill="1" applyBorder="1" applyAlignment="1">
      <alignment vertical="center"/>
    </xf>
    <xf numFmtId="0" fontId="22" fillId="13" borderId="0" xfId="0" applyFont="1" applyFill="1" applyBorder="1" applyAlignment="1">
      <alignment vertical="center"/>
    </xf>
    <xf numFmtId="0" fontId="22" fillId="13" borderId="13" xfId="0" applyFont="1" applyFill="1" applyBorder="1" applyAlignment="1">
      <alignment vertical="center"/>
    </xf>
    <xf numFmtId="0" fontId="22" fillId="13" borderId="36" xfId="0" applyFont="1" applyFill="1" applyBorder="1" applyAlignment="1">
      <alignment vertical="center"/>
    </xf>
    <xf numFmtId="0" fontId="22" fillId="13" borderId="37" xfId="0" applyFont="1" applyFill="1" applyBorder="1" applyAlignment="1">
      <alignment vertical="center"/>
    </xf>
    <xf numFmtId="0" fontId="22" fillId="13" borderId="9" xfId="0" applyFont="1" applyFill="1" applyBorder="1" applyAlignment="1">
      <alignment vertical="center"/>
    </xf>
    <xf numFmtId="0" fontId="15" fillId="3" borderId="50" xfId="0" applyFont="1" applyFill="1" applyBorder="1" applyAlignment="1">
      <alignment vertical="center" wrapText="1"/>
    </xf>
    <xf numFmtId="0" fontId="15" fillId="3" borderId="0" xfId="0" applyFont="1" applyFill="1" applyBorder="1" applyAlignment="1">
      <alignment horizontal="left" wrapText="1"/>
    </xf>
    <xf numFmtId="0" fontId="15" fillId="3" borderId="0" xfId="0" applyFont="1" applyFill="1" applyBorder="1" applyAlignment="1">
      <alignment horizontal="left" vertical="center"/>
    </xf>
    <xf numFmtId="0" fontId="15" fillId="12" borderId="38" xfId="0" applyFont="1" applyFill="1" applyBorder="1" applyAlignment="1"/>
    <xf numFmtId="0" fontId="15" fillId="12" borderId="25" xfId="0" applyFont="1" applyFill="1" applyBorder="1" applyAlignment="1"/>
    <xf numFmtId="2" fontId="23" fillId="13" borderId="0" xfId="0" applyNumberFormat="1" applyFont="1" applyFill="1"/>
    <xf numFmtId="0" fontId="15" fillId="9" borderId="0" xfId="0" applyFont="1" applyFill="1" applyAlignment="1">
      <alignment horizontal="left" vertical="center"/>
    </xf>
    <xf numFmtId="0" fontId="15" fillId="3" borderId="0" xfId="0" applyNumberFormat="1" applyFont="1" applyFill="1"/>
    <xf numFmtId="0" fontId="15" fillId="9" borderId="0" xfId="0" applyFont="1" applyFill="1" applyAlignment="1">
      <alignment horizontal="right" vertical="center"/>
    </xf>
    <xf numFmtId="0" fontId="15" fillId="3" borderId="9" xfId="0" applyFont="1" applyFill="1" applyBorder="1"/>
    <xf numFmtId="0" fontId="16" fillId="3" borderId="9" xfId="0" applyFont="1" applyFill="1" applyBorder="1"/>
    <xf numFmtId="0" fontId="46" fillId="3" borderId="9" xfId="0" applyFont="1" applyFill="1" applyBorder="1"/>
    <xf numFmtId="0" fontId="16" fillId="17" borderId="0" xfId="0" applyFont="1" applyFill="1" applyAlignment="1">
      <alignment horizontal="center" vertical="center"/>
    </xf>
    <xf numFmtId="0" fontId="15" fillId="16" borderId="0" xfId="0" applyFont="1" applyFill="1" applyBorder="1"/>
    <xf numFmtId="0" fontId="30" fillId="3" borderId="0" xfId="0" applyFont="1" applyFill="1" applyBorder="1" applyAlignment="1">
      <alignment wrapText="1"/>
    </xf>
    <xf numFmtId="0" fontId="18" fillId="13" borderId="0" xfId="0" applyFont="1" applyFill="1" applyAlignment="1">
      <alignment horizontal="right"/>
    </xf>
    <xf numFmtId="0" fontId="18" fillId="13" borderId="0" xfId="0" applyFont="1" applyFill="1" applyAlignment="1">
      <alignment horizontal="right" vertical="center"/>
    </xf>
    <xf numFmtId="0" fontId="18" fillId="13" borderId="0" xfId="0" applyFont="1" applyFill="1" applyBorder="1" applyAlignment="1">
      <alignment horizontal="right" vertical="center"/>
    </xf>
    <xf numFmtId="0" fontId="33" fillId="13" borderId="0" xfId="0" applyFont="1" applyFill="1" applyBorder="1" applyAlignment="1">
      <alignment horizontal="center" vertical="center"/>
    </xf>
    <xf numFmtId="0" fontId="18" fillId="13" borderId="0" xfId="0" applyFont="1" applyFill="1" applyBorder="1" applyAlignment="1">
      <alignment horizontal="right" vertical="center"/>
    </xf>
    <xf numFmtId="0" fontId="18" fillId="13" borderId="0" xfId="0" applyFont="1" applyFill="1" applyAlignment="1">
      <alignment horizontal="right" vertical="center"/>
    </xf>
    <xf numFmtId="164" fontId="47" fillId="13" borderId="0" xfId="2" applyNumberFormat="1" applyFont="1" applyFill="1" applyBorder="1" applyAlignment="1">
      <alignment horizontal="center"/>
    </xf>
    <xf numFmtId="169" fontId="47" fillId="13" borderId="0" xfId="0" applyNumberFormat="1" applyFont="1" applyFill="1" applyBorder="1"/>
    <xf numFmtId="169" fontId="47" fillId="13" borderId="0" xfId="0" applyNumberFormat="1" applyFont="1" applyFill="1"/>
    <xf numFmtId="2" fontId="47" fillId="13" borderId="0" xfId="0" applyNumberFormat="1" applyFont="1" applyFill="1" applyBorder="1"/>
    <xf numFmtId="10" fontId="47" fillId="13" borderId="0" xfId="1" applyNumberFormat="1" applyFont="1" applyFill="1" applyBorder="1"/>
    <xf numFmtId="2" fontId="47" fillId="13" borderId="7" xfId="0" applyNumberFormat="1" applyFont="1" applyFill="1" applyBorder="1"/>
    <xf numFmtId="10" fontId="47" fillId="13" borderId="7" xfId="1" applyNumberFormat="1" applyFont="1" applyFill="1" applyBorder="1"/>
    <xf numFmtId="10" fontId="47" fillId="13" borderId="0" xfId="1" applyNumberFormat="1" applyFont="1" applyFill="1"/>
    <xf numFmtId="164" fontId="47" fillId="13" borderId="0" xfId="2" applyNumberFormat="1" applyFont="1" applyFill="1" applyBorder="1"/>
    <xf numFmtId="164" fontId="47" fillId="13" borderId="0" xfId="2" applyNumberFormat="1" applyFont="1" applyFill="1"/>
    <xf numFmtId="0" fontId="18" fillId="13" borderId="5" xfId="0" applyFont="1" applyFill="1" applyBorder="1" applyAlignment="1">
      <alignment horizontal="right"/>
    </xf>
    <xf numFmtId="2" fontId="47" fillId="13" borderId="5" xfId="0" applyNumberFormat="1" applyFont="1" applyFill="1" applyBorder="1"/>
    <xf numFmtId="164" fontId="47" fillId="13" borderId="11" xfId="2" applyNumberFormat="1" applyFont="1" applyFill="1" applyBorder="1" applyAlignment="1">
      <alignment horizontal="center" vertical="center"/>
    </xf>
    <xf numFmtId="164" fontId="47" fillId="13" borderId="0" xfId="2" applyNumberFormat="1" applyFont="1" applyFill="1" applyBorder="1" applyAlignment="1">
      <alignment horizontal="center" vertical="center"/>
    </xf>
    <xf numFmtId="164" fontId="47" fillId="13" borderId="3" xfId="2" applyNumberFormat="1" applyFont="1" applyFill="1" applyBorder="1" applyAlignment="1">
      <alignment horizontal="center" vertical="center"/>
    </xf>
    <xf numFmtId="164" fontId="47" fillId="13" borderId="65" xfId="2" applyNumberFormat="1" applyFont="1" applyFill="1" applyBorder="1" applyAlignment="1">
      <alignment horizontal="center" vertical="center"/>
    </xf>
    <xf numFmtId="164" fontId="47" fillId="13" borderId="4" xfId="2" applyNumberFormat="1" applyFont="1" applyFill="1" applyBorder="1" applyAlignment="1">
      <alignment horizontal="center" vertical="center"/>
    </xf>
    <xf numFmtId="164" fontId="47" fillId="13" borderId="2" xfId="2" applyNumberFormat="1" applyFont="1" applyFill="1" applyBorder="1" applyAlignment="1">
      <alignment horizontal="center" vertical="center"/>
    </xf>
    <xf numFmtId="164" fontId="18" fillId="13" borderId="0" xfId="2" applyNumberFormat="1" applyFont="1" applyFill="1" applyAlignment="1">
      <alignment horizontal="center" vertical="center"/>
    </xf>
    <xf numFmtId="0" fontId="18" fillId="13" borderId="0" xfId="0" applyFont="1" applyFill="1" applyAlignment="1">
      <alignment vertical="center" wrapText="1"/>
    </xf>
    <xf numFmtId="0" fontId="18" fillId="13" borderId="0" xfId="0" applyFont="1" applyFill="1" applyAlignment="1">
      <alignment vertical="center"/>
    </xf>
    <xf numFmtId="0" fontId="18" fillId="13" borderId="0" xfId="0" applyFont="1" applyFill="1" applyAlignment="1"/>
    <xf numFmtId="164" fontId="23" fillId="13" borderId="0" xfId="2" applyNumberFormat="1" applyFont="1" applyFill="1" applyAlignment="1">
      <alignment vertical="center"/>
    </xf>
    <xf numFmtId="165" fontId="23" fillId="13" borderId="0" xfId="1" applyNumberFormat="1" applyFont="1" applyFill="1" applyAlignment="1">
      <alignment vertical="center"/>
    </xf>
    <xf numFmtId="164" fontId="47" fillId="13" borderId="60" xfId="2" applyNumberFormat="1" applyFont="1" applyFill="1" applyBorder="1" applyAlignment="1">
      <alignment horizontal="center" vertical="center"/>
    </xf>
    <xf numFmtId="164" fontId="47" fillId="13" borderId="47" xfId="2" applyNumberFormat="1" applyFont="1" applyFill="1" applyBorder="1" applyAlignment="1">
      <alignment horizontal="center" vertical="center"/>
    </xf>
    <xf numFmtId="164" fontId="47" fillId="13" borderId="59" xfId="2" applyNumberFormat="1" applyFont="1" applyFill="1" applyBorder="1" applyAlignment="1">
      <alignment horizontal="center" vertical="center"/>
    </xf>
    <xf numFmtId="164" fontId="47" fillId="13" borderId="62" xfId="2" applyNumberFormat="1" applyFont="1" applyFill="1" applyBorder="1" applyAlignment="1">
      <alignment horizontal="center" vertical="center"/>
    </xf>
    <xf numFmtId="164" fontId="47" fillId="13" borderId="48" xfId="2" applyNumberFormat="1" applyFont="1" applyFill="1" applyBorder="1" applyAlignment="1">
      <alignment horizontal="center" vertical="center"/>
    </xf>
    <xf numFmtId="164" fontId="47" fillId="13" borderId="61" xfId="2" applyNumberFormat="1" applyFont="1" applyFill="1" applyBorder="1" applyAlignment="1">
      <alignment horizontal="center" vertical="center"/>
    </xf>
    <xf numFmtId="165" fontId="47" fillId="13" borderId="65" xfId="1" applyNumberFormat="1" applyFont="1" applyFill="1" applyBorder="1" applyAlignment="1">
      <alignment horizontal="right" vertical="center"/>
    </xf>
    <xf numFmtId="165" fontId="47" fillId="13" borderId="4" xfId="1" applyNumberFormat="1" applyFont="1" applyFill="1" applyBorder="1" applyAlignment="1">
      <alignment horizontal="right" vertical="center"/>
    </xf>
    <xf numFmtId="165" fontId="47" fillId="13" borderId="2" xfId="1" applyNumberFormat="1" applyFont="1" applyFill="1" applyBorder="1" applyAlignment="1">
      <alignment horizontal="right" vertical="center"/>
    </xf>
    <xf numFmtId="165" fontId="47" fillId="13" borderId="0" xfId="1" applyNumberFormat="1" applyFont="1" applyFill="1" applyBorder="1" applyAlignment="1">
      <alignment horizontal="right" vertical="center"/>
    </xf>
    <xf numFmtId="0" fontId="48" fillId="13" borderId="0" xfId="0" applyFont="1" applyFill="1"/>
    <xf numFmtId="164" fontId="47" fillId="13" borderId="0" xfId="2" applyNumberFormat="1" applyFont="1" applyFill="1" applyAlignment="1">
      <alignment vertical="center"/>
    </xf>
    <xf numFmtId="0" fontId="47" fillId="13" borderId="0" xfId="0" applyFont="1" applyFill="1" applyAlignment="1">
      <alignment vertical="center"/>
    </xf>
    <xf numFmtId="165" fontId="47" fillId="13" borderId="0" xfId="1" applyNumberFormat="1" applyFont="1" applyFill="1" applyAlignment="1">
      <alignment vertical="center"/>
    </xf>
    <xf numFmtId="164" fontId="47" fillId="13" borderId="11" xfId="2" applyNumberFormat="1" applyFont="1" applyFill="1" applyBorder="1"/>
    <xf numFmtId="164" fontId="47" fillId="13" borderId="3" xfId="2" applyNumberFormat="1" applyFont="1" applyFill="1" applyBorder="1"/>
    <xf numFmtId="164" fontId="47" fillId="13" borderId="60" xfId="2" applyNumberFormat="1" applyFont="1" applyFill="1" applyBorder="1"/>
    <xf numFmtId="164" fontId="47" fillId="13" borderId="47" xfId="2" applyNumberFormat="1" applyFont="1" applyFill="1" applyBorder="1"/>
    <xf numFmtId="164" fontId="47" fillId="13" borderId="59" xfId="2" applyNumberFormat="1" applyFont="1" applyFill="1" applyBorder="1"/>
    <xf numFmtId="165" fontId="47" fillId="13" borderId="65" xfId="1" applyNumberFormat="1" applyFont="1" applyFill="1" applyBorder="1"/>
    <xf numFmtId="165" fontId="47" fillId="13" borderId="4" xfId="1" applyNumberFormat="1" applyFont="1" applyFill="1" applyBorder="1"/>
    <xf numFmtId="165" fontId="47" fillId="13" borderId="2" xfId="1" applyNumberFormat="1" applyFont="1" applyFill="1" applyBorder="1"/>
    <xf numFmtId="164" fontId="47" fillId="13" borderId="58" xfId="2" applyNumberFormat="1" applyFont="1" applyFill="1" applyBorder="1" applyAlignment="1">
      <alignment horizontal="center" vertical="center"/>
    </xf>
    <xf numFmtId="164" fontId="47" fillId="13" borderId="57" xfId="2" applyNumberFormat="1" applyFont="1" applyFill="1" applyBorder="1" applyAlignment="1">
      <alignment horizontal="center" vertical="center"/>
    </xf>
    <xf numFmtId="165" fontId="47" fillId="13" borderId="66" xfId="1" applyNumberFormat="1" applyFont="1" applyFill="1" applyBorder="1" applyAlignment="1">
      <alignment horizontal="right" vertical="center"/>
    </xf>
    <xf numFmtId="0" fontId="18" fillId="0" borderId="0" xfId="0" quotePrefix="1" applyFont="1"/>
    <xf numFmtId="0" fontId="47" fillId="13" borderId="0" xfId="0" applyFont="1" applyFill="1"/>
    <xf numFmtId="164" fontId="47" fillId="13" borderId="3" xfId="2" applyNumberFormat="1" applyFont="1" applyFill="1" applyBorder="1" applyAlignment="1">
      <alignment horizontal="center"/>
    </xf>
    <xf numFmtId="164" fontId="47" fillId="13" borderId="11" xfId="2" applyNumberFormat="1" applyFont="1" applyFill="1" applyBorder="1" applyAlignment="1">
      <alignment horizontal="center"/>
    </xf>
    <xf numFmtId="0" fontId="18" fillId="13" borderId="4" xfId="0" applyFont="1" applyFill="1" applyBorder="1" applyAlignment="1">
      <alignment horizontal="center" vertical="center"/>
    </xf>
    <xf numFmtId="0" fontId="18" fillId="13" borderId="2" xfId="0" applyFont="1" applyFill="1" applyBorder="1" applyAlignment="1">
      <alignment horizontal="center" vertical="center"/>
    </xf>
    <xf numFmtId="0" fontId="18" fillId="13" borderId="65" xfId="0" applyFont="1" applyFill="1" applyBorder="1" applyAlignment="1">
      <alignment horizontal="center" vertical="center"/>
    </xf>
    <xf numFmtId="164" fontId="47" fillId="13" borderId="63" xfId="2" applyNumberFormat="1" applyFont="1" applyFill="1" applyBorder="1" applyAlignment="1">
      <alignment horizontal="center"/>
    </xf>
    <xf numFmtId="0" fontId="18" fillId="13" borderId="4" xfId="0" applyFont="1" applyFill="1" applyBorder="1" applyAlignment="1">
      <alignment horizontal="right"/>
    </xf>
    <xf numFmtId="2" fontId="47" fillId="13" borderId="63" xfId="0" applyNumberFormat="1" applyFont="1" applyFill="1" applyBorder="1"/>
    <xf numFmtId="2" fontId="47" fillId="13" borderId="11" xfId="0" applyNumberFormat="1" applyFont="1" applyFill="1" applyBorder="1"/>
    <xf numFmtId="164" fontId="47" fillId="13" borderId="0" xfId="2" applyNumberFormat="1" applyFont="1" applyFill="1" applyAlignment="1">
      <alignment horizontal="center" vertical="center"/>
    </xf>
    <xf numFmtId="0" fontId="18" fillId="13" borderId="3" xfId="0" applyFont="1" applyFill="1" applyBorder="1" applyAlignment="1">
      <alignment horizontal="right"/>
    </xf>
    <xf numFmtId="0" fontId="18" fillId="13" borderId="2" xfId="0" applyFont="1" applyFill="1" applyBorder="1" applyAlignment="1">
      <alignment horizontal="right"/>
    </xf>
    <xf numFmtId="0" fontId="18" fillId="13" borderId="21" xfId="0" applyFont="1" applyFill="1" applyBorder="1" applyAlignment="1">
      <alignment horizontal="right"/>
    </xf>
    <xf numFmtId="0" fontId="18" fillId="13" borderId="64" xfId="0" applyFont="1" applyFill="1" applyBorder="1" applyAlignment="1">
      <alignment horizontal="right"/>
    </xf>
    <xf numFmtId="0" fontId="18" fillId="13" borderId="0" xfId="0" applyFont="1" applyFill="1" applyAlignment="1">
      <alignment vertical="top"/>
    </xf>
    <xf numFmtId="0" fontId="18" fillId="13" borderId="0" xfId="0" applyFont="1" applyFill="1" applyAlignment="1">
      <alignment horizontal="right" vertical="top"/>
    </xf>
    <xf numFmtId="0" fontId="16" fillId="9" borderId="0" xfId="0" applyFont="1" applyFill="1"/>
    <xf numFmtId="0" fontId="16" fillId="9" borderId="0" xfId="0" applyFont="1" applyFill="1" applyAlignment="1">
      <alignment horizontal="center"/>
    </xf>
    <xf numFmtId="0" fontId="7" fillId="14" borderId="0" xfId="0" applyFont="1" applyFill="1" applyAlignment="1">
      <alignment horizontal="center" vertical="center"/>
    </xf>
    <xf numFmtId="0" fontId="18" fillId="13" borderId="0" xfId="0" applyFont="1" applyFill="1" applyAlignment="1">
      <alignment horizontal="center" vertical="center" wrapText="1"/>
    </xf>
    <xf numFmtId="0" fontId="18" fillId="13" borderId="63" xfId="0" applyFont="1" applyFill="1" applyBorder="1" applyAlignment="1">
      <alignment horizontal="center" vertical="center"/>
    </xf>
    <xf numFmtId="0" fontId="18" fillId="13" borderId="5" xfId="0" applyFont="1" applyFill="1" applyBorder="1" applyAlignment="1">
      <alignment horizontal="center" vertical="center"/>
    </xf>
    <xf numFmtId="0" fontId="18" fillId="13" borderId="64" xfId="0" applyFont="1" applyFill="1" applyBorder="1" applyAlignment="1">
      <alignment horizontal="center" vertical="center"/>
    </xf>
    <xf numFmtId="0" fontId="33" fillId="13" borderId="11" xfId="0" applyFont="1" applyFill="1" applyBorder="1" applyAlignment="1">
      <alignment horizontal="center" vertical="center"/>
    </xf>
    <xf numFmtId="0" fontId="33" fillId="13" borderId="0" xfId="0" applyFont="1" applyFill="1" applyBorder="1" applyAlignment="1">
      <alignment horizontal="center" vertical="center"/>
    </xf>
    <xf numFmtId="0" fontId="33" fillId="13" borderId="3" xfId="0" applyFont="1" applyFill="1" applyBorder="1" applyAlignment="1">
      <alignment horizontal="center" vertical="center"/>
    </xf>
    <xf numFmtId="0" fontId="18" fillId="13" borderId="0" xfId="0" applyFont="1" applyFill="1" applyAlignment="1">
      <alignment horizontal="right" vertical="center"/>
    </xf>
    <xf numFmtId="0" fontId="18" fillId="13" borderId="0" xfId="0" applyFont="1" applyFill="1" applyBorder="1" applyAlignment="1">
      <alignment horizontal="right" vertical="center"/>
    </xf>
    <xf numFmtId="0" fontId="18" fillId="13" borderId="0" xfId="0" applyFont="1" applyFill="1" applyBorder="1" applyAlignment="1">
      <alignment horizontal="center" vertical="center"/>
    </xf>
    <xf numFmtId="0" fontId="18" fillId="13" borderId="3" xfId="0" applyFont="1" applyFill="1" applyBorder="1" applyAlignment="1">
      <alignment horizontal="center" vertical="center"/>
    </xf>
    <xf numFmtId="0" fontId="18" fillId="13" borderId="11" xfId="0" applyFont="1" applyFill="1" applyBorder="1" applyAlignment="1">
      <alignment horizontal="center" vertical="center"/>
    </xf>
    <xf numFmtId="0" fontId="49" fillId="13" borderId="0" xfId="0" applyFont="1" applyFill="1" applyAlignment="1">
      <alignment horizontal="center"/>
    </xf>
    <xf numFmtId="0" fontId="18" fillId="13" borderId="3" xfId="0" applyFont="1" applyFill="1" applyBorder="1" applyAlignment="1">
      <alignment horizontal="right" vertical="center"/>
    </xf>
    <xf numFmtId="0" fontId="25" fillId="13" borderId="0" xfId="0" applyFont="1" applyFill="1" applyBorder="1" applyAlignment="1">
      <alignment horizontal="center" vertical="center"/>
    </xf>
    <xf numFmtId="0" fontId="3" fillId="3" borderId="0" xfId="0" applyFont="1" applyFill="1" applyBorder="1" applyAlignment="1">
      <alignment horizontal="center" vertical="center" wrapText="1"/>
    </xf>
  </cellXfs>
  <cellStyles count="4">
    <cellStyle name="Comma" xfId="2" builtinId="3"/>
    <cellStyle name="Normal" xfId="0" builtinId="0"/>
    <cellStyle name="Normal_PSPRYR" xfId="3"/>
    <cellStyle name="Percent" xfId="1" builtinId="5"/>
  </cellStyles>
  <dxfs count="0"/>
  <tableStyles count="0" defaultTableStyle="TableStyleMedium2" defaultPivotStyle="PivotStyleLight16"/>
  <colors>
    <mruColors>
      <color rgb="FF003060"/>
      <color rgb="FF004182"/>
      <color rgb="FF3E5CA0"/>
      <color rgb="FF0F66CF"/>
      <color rgb="FF0058B0"/>
      <color rgb="FF5597D3"/>
      <color rgb="FF00458A"/>
      <color rgb="FFC8102E"/>
      <color rgb="FFCE112D"/>
      <color rgb="FF640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_rels/activeX64.xml.rels><?xml version="1.0" encoding="UTF-8" standalone="yes"?>
<Relationships xmlns="http://schemas.openxmlformats.org/package/2006/relationships"><Relationship Id="rId1" Type="http://schemas.microsoft.com/office/2006/relationships/activeXControlBinary" Target="activeX64.bin"/></Relationships>
</file>

<file path=xl/activeX/_rels/activeX65.xml.rels><?xml version="1.0" encoding="UTF-8" standalone="yes"?>
<Relationships xmlns="http://schemas.openxmlformats.org/package/2006/relationships"><Relationship Id="rId1" Type="http://schemas.microsoft.com/office/2006/relationships/activeXControlBinary" Target="activeX65.bin"/></Relationships>
</file>

<file path=xl/activeX/_rels/activeX66.xml.rels><?xml version="1.0" encoding="UTF-8" standalone="yes"?>
<Relationships xmlns="http://schemas.openxmlformats.org/package/2006/relationships"><Relationship Id="rId1" Type="http://schemas.microsoft.com/office/2006/relationships/activeXControlBinary" Target="activeX66.bin"/></Relationships>
</file>

<file path=xl/activeX/_rels/activeX67.xml.rels><?xml version="1.0" encoding="UTF-8" standalone="yes"?>
<Relationships xmlns="http://schemas.openxmlformats.org/package/2006/relationships"><Relationship Id="rId1" Type="http://schemas.microsoft.com/office/2006/relationships/activeXControlBinary" Target="activeX67.bin"/></Relationships>
</file>

<file path=xl/activeX/_rels/activeX68.xml.rels><?xml version="1.0" encoding="UTF-8" standalone="yes"?>
<Relationships xmlns="http://schemas.openxmlformats.org/package/2006/relationships"><Relationship Id="rId1" Type="http://schemas.microsoft.com/office/2006/relationships/activeXControlBinary" Target="activeX68.bin"/></Relationships>
</file>

<file path=xl/activeX/_rels/activeX69.xml.rels><?xml version="1.0" encoding="UTF-8" standalone="yes"?>
<Relationships xmlns="http://schemas.openxmlformats.org/package/2006/relationships"><Relationship Id="rId1" Type="http://schemas.microsoft.com/office/2006/relationships/activeXControlBinary" Target="activeX69.bin"/></Relationships>
</file>

<file path=xl/activeX/_rels/activeX70.xml.rels><?xml version="1.0" encoding="UTF-8" standalone="yes"?>
<Relationships xmlns="http://schemas.openxmlformats.org/package/2006/relationships"><Relationship Id="rId1" Type="http://schemas.microsoft.com/office/2006/relationships/activeXControlBinary" Target="activeX70.bin"/></Relationships>
</file>

<file path=xl/activeX/_rels/activeX71.xml.rels><?xml version="1.0" encoding="UTF-8" standalone="yes"?>
<Relationships xmlns="http://schemas.openxmlformats.org/package/2006/relationships"><Relationship Id="rId1" Type="http://schemas.microsoft.com/office/2006/relationships/activeXControlBinary" Target="activeX71.bin"/></Relationships>
</file>

<file path=xl/activeX/_rels/activeX72.xml.rels><?xml version="1.0" encoding="UTF-8" standalone="yes"?>
<Relationships xmlns="http://schemas.openxmlformats.org/package/2006/relationships"><Relationship Id="rId1" Type="http://schemas.microsoft.com/office/2006/relationships/activeXControlBinary" Target="activeX72.bin"/></Relationships>
</file>

<file path=xl/activeX/_rels/activeX73.xml.rels><?xml version="1.0" encoding="UTF-8" standalone="yes"?>
<Relationships xmlns="http://schemas.openxmlformats.org/package/2006/relationships"><Relationship Id="rId1" Type="http://schemas.microsoft.com/office/2006/relationships/activeXControlBinary" Target="activeX73.bin"/></Relationships>
</file>

<file path=xl/activeX/_rels/activeX74.xml.rels><?xml version="1.0" encoding="UTF-8" standalone="yes"?>
<Relationships xmlns="http://schemas.openxmlformats.org/package/2006/relationships"><Relationship Id="rId1" Type="http://schemas.microsoft.com/office/2006/relationships/activeXControlBinary" Target="activeX74.bin"/></Relationships>
</file>

<file path=xl/activeX/_rels/activeX75.xml.rels><?xml version="1.0" encoding="UTF-8" standalone="yes"?>
<Relationships xmlns="http://schemas.openxmlformats.org/package/2006/relationships"><Relationship Id="rId1" Type="http://schemas.microsoft.com/office/2006/relationships/activeXControlBinary" Target="activeX75.bin"/></Relationships>
</file>

<file path=xl/activeX/_rels/activeX76.xml.rels><?xml version="1.0" encoding="UTF-8" standalone="yes"?>
<Relationships xmlns="http://schemas.openxmlformats.org/package/2006/relationships"><Relationship Id="rId1" Type="http://schemas.microsoft.com/office/2006/relationships/activeXControlBinary" Target="activeX76.bin"/></Relationships>
</file>

<file path=xl/activeX/_rels/activeX77.xml.rels><?xml version="1.0" encoding="UTF-8" standalone="yes"?>
<Relationships xmlns="http://schemas.openxmlformats.org/package/2006/relationships"><Relationship Id="rId1" Type="http://schemas.microsoft.com/office/2006/relationships/activeXControlBinary" Target="activeX77.bin"/></Relationships>
</file>

<file path=xl/activeX/_rels/activeX78.xml.rels><?xml version="1.0" encoding="UTF-8" standalone="yes"?>
<Relationships xmlns="http://schemas.openxmlformats.org/package/2006/relationships"><Relationship Id="rId1" Type="http://schemas.microsoft.com/office/2006/relationships/activeXControlBinary" Target="activeX78.bin"/></Relationships>
</file>

<file path=xl/activeX/_rels/activeX79.xml.rels><?xml version="1.0" encoding="UTF-8" standalone="yes"?>
<Relationships xmlns="http://schemas.openxmlformats.org/package/2006/relationships"><Relationship Id="rId1" Type="http://schemas.microsoft.com/office/2006/relationships/activeXControlBinary" Target="activeX79.bin"/></Relationships>
</file>

<file path=xl/activeX/_rels/activeX80.xml.rels><?xml version="1.0" encoding="UTF-8" standalone="yes"?>
<Relationships xmlns="http://schemas.openxmlformats.org/package/2006/relationships"><Relationship Id="rId1" Type="http://schemas.microsoft.com/office/2006/relationships/activeXControlBinary" Target="activeX80.bin"/></Relationships>
</file>

<file path=xl/activeX/_rels/activeX81.xml.rels><?xml version="1.0" encoding="UTF-8" standalone="yes"?>
<Relationships xmlns="http://schemas.openxmlformats.org/package/2006/relationships"><Relationship Id="rId1" Type="http://schemas.microsoft.com/office/2006/relationships/activeXControlBinary" Target="activeX81.bin"/></Relationships>
</file>

<file path=xl/activeX/_rels/activeX82.xml.rels><?xml version="1.0" encoding="UTF-8" standalone="yes"?>
<Relationships xmlns="http://schemas.openxmlformats.org/package/2006/relationships"><Relationship Id="rId1" Type="http://schemas.microsoft.com/office/2006/relationships/activeXControlBinary" Target="activeX82.bin"/></Relationships>
</file>

<file path=xl/activeX/_rels/activeX83.xml.rels><?xml version="1.0" encoding="UTF-8" standalone="yes"?>
<Relationships xmlns="http://schemas.openxmlformats.org/package/2006/relationships"><Relationship Id="rId1" Type="http://schemas.microsoft.com/office/2006/relationships/activeXControlBinary" Target="activeX83.bin"/></Relationships>
</file>

<file path=xl/activeX/_rels/activeX84.xml.rels><?xml version="1.0" encoding="UTF-8" standalone="yes"?>
<Relationships xmlns="http://schemas.openxmlformats.org/package/2006/relationships"><Relationship Id="rId1" Type="http://schemas.microsoft.com/office/2006/relationships/activeXControlBinary" Target="activeX84.bin"/></Relationships>
</file>

<file path=xl/activeX/_rels/activeX85.xml.rels><?xml version="1.0" encoding="UTF-8" standalone="yes"?>
<Relationships xmlns="http://schemas.openxmlformats.org/package/2006/relationships"><Relationship Id="rId1" Type="http://schemas.microsoft.com/office/2006/relationships/activeXControlBinary" Target="activeX85.bin"/></Relationships>
</file>

<file path=xl/activeX/_rels/activeX86.xml.rels><?xml version="1.0" encoding="UTF-8" standalone="yes"?>
<Relationships xmlns="http://schemas.openxmlformats.org/package/2006/relationships"><Relationship Id="rId1" Type="http://schemas.microsoft.com/office/2006/relationships/activeXControlBinary" Target="activeX86.bin"/></Relationships>
</file>

<file path=xl/activeX/_rels/activeX87.xml.rels><?xml version="1.0" encoding="UTF-8" standalone="yes"?>
<Relationships xmlns="http://schemas.openxmlformats.org/package/2006/relationships"><Relationship Id="rId1" Type="http://schemas.microsoft.com/office/2006/relationships/activeXControlBinary" Target="activeX87.bin"/></Relationships>
</file>

<file path=xl/activeX/_rels/activeX88.xml.rels><?xml version="1.0" encoding="UTF-8" standalone="yes"?>
<Relationships xmlns="http://schemas.openxmlformats.org/package/2006/relationships"><Relationship Id="rId1" Type="http://schemas.microsoft.com/office/2006/relationships/activeXControlBinary" Target="activeX88.bin"/></Relationships>
</file>

<file path=xl/activeX/_rels/activeX89.xml.rels><?xml version="1.0" encoding="UTF-8" standalone="yes"?>
<Relationships xmlns="http://schemas.openxmlformats.org/package/2006/relationships"><Relationship Id="rId1" Type="http://schemas.microsoft.com/office/2006/relationships/activeXControlBinary" Target="activeX89.bin"/></Relationships>
</file>

<file path=xl/activeX/_rels/activeX90.xml.rels><?xml version="1.0" encoding="UTF-8" standalone="yes"?>
<Relationships xmlns="http://schemas.openxmlformats.org/package/2006/relationships"><Relationship Id="rId1" Type="http://schemas.microsoft.com/office/2006/relationships/activeXControlBinary" Target="activeX90.bin"/></Relationships>
</file>

<file path=xl/activeX/_rels/activeX91.xml.rels><?xml version="1.0" encoding="UTF-8" standalone="yes"?>
<Relationships xmlns="http://schemas.openxmlformats.org/package/2006/relationships"><Relationship Id="rId1" Type="http://schemas.microsoft.com/office/2006/relationships/activeXControlBinary" Target="activeX91.bin"/></Relationships>
</file>

<file path=xl/activeX/_rels/activeX92.xml.rels><?xml version="1.0" encoding="UTF-8" standalone="yes"?>
<Relationships xmlns="http://schemas.openxmlformats.org/package/2006/relationships"><Relationship Id="rId1" Type="http://schemas.microsoft.com/office/2006/relationships/activeXControlBinary" Target="activeX92.bin"/></Relationships>
</file>

<file path=xl/activeX/_rels/activeX93.xml.rels><?xml version="1.0" encoding="UTF-8" standalone="yes"?>
<Relationships xmlns="http://schemas.openxmlformats.org/package/2006/relationships"><Relationship Id="rId1" Type="http://schemas.microsoft.com/office/2006/relationships/activeXControlBinary" Target="activeX93.bin"/></Relationships>
</file>

<file path=xl/activeX/_rels/activeX94.xml.rels><?xml version="1.0" encoding="UTF-8" standalone="yes"?>
<Relationships xmlns="http://schemas.openxmlformats.org/package/2006/relationships"><Relationship Id="rId1" Type="http://schemas.microsoft.com/office/2006/relationships/activeXControlBinary" Target="activeX94.bin"/></Relationships>
</file>

<file path=xl/activeX/_rels/activeX95.xml.rels><?xml version="1.0" encoding="UTF-8" standalone="yes"?>
<Relationships xmlns="http://schemas.openxmlformats.org/package/2006/relationships"><Relationship Id="rId1" Type="http://schemas.microsoft.com/office/2006/relationships/activeXControlBinary" Target="activeX95.bin"/></Relationships>
</file>

<file path=xl/activeX/_rels/activeX96.xml.rels><?xml version="1.0" encoding="UTF-8" standalone="yes"?>
<Relationships xmlns="http://schemas.openxmlformats.org/package/2006/relationships"><Relationship Id="rId1" Type="http://schemas.microsoft.com/office/2006/relationships/activeXControlBinary" Target="activeX96.bin"/></Relationships>
</file>

<file path=xl/activeX/_rels/activeX97.xml.rels><?xml version="1.0" encoding="UTF-8" standalone="yes"?>
<Relationships xmlns="http://schemas.openxmlformats.org/package/2006/relationships"><Relationship Id="rId1" Type="http://schemas.microsoft.com/office/2006/relationships/activeXControlBinary" Target="activeX97.bin"/></Relationships>
</file>

<file path=xl/activeX/_rels/activeX98.xml.rels><?xml version="1.0" encoding="UTF-8" standalone="yes"?>
<Relationships xmlns="http://schemas.openxmlformats.org/package/2006/relationships"><Relationship Id="rId1" Type="http://schemas.microsoft.com/office/2006/relationships/activeXControlBinary" Target="activeX98.bin"/></Relationships>
</file>

<file path=xl/activeX/_rels/activeX99.xml.rels><?xml version="1.0" encoding="UTF-8" standalone="yes"?>
<Relationships xmlns="http://schemas.openxmlformats.org/package/2006/relationships"><Relationship Id="rId1" Type="http://schemas.microsoft.com/office/2006/relationships/activeXControlBinary" Target="activeX99.bin"/></Relationships>
</file>

<file path=xl/activeX/_rels/activeX100.xml.rels><?xml version="1.0" encoding="UTF-8" standalone="yes"?>
<Relationships xmlns="http://schemas.openxmlformats.org/package/2006/relationships"><Relationship Id="rId1" Type="http://schemas.microsoft.com/office/2006/relationships/activeXControlBinary" Target="activeX100.bin"/></Relationships>
</file>

<file path=xl/activeX/_rels/activeX101.xml.rels><?xml version="1.0" encoding="UTF-8" standalone="yes"?>
<Relationships xmlns="http://schemas.openxmlformats.org/package/2006/relationships"><Relationship Id="rId1" Type="http://schemas.microsoft.com/office/2006/relationships/activeXControlBinary" Target="activeX101.bin"/></Relationships>
</file>

<file path=xl/activeX/_rels/activeX102.xml.rels><?xml version="1.0" encoding="UTF-8" standalone="yes"?>
<Relationships xmlns="http://schemas.openxmlformats.org/package/2006/relationships"><Relationship Id="rId1" Type="http://schemas.microsoft.com/office/2006/relationships/activeXControlBinary" Target="activeX102.bin"/></Relationships>
</file>

<file path=xl/activeX/_rels/activeX103.xml.rels><?xml version="1.0" encoding="UTF-8" standalone="yes"?>
<Relationships xmlns="http://schemas.openxmlformats.org/package/2006/relationships"><Relationship Id="rId1" Type="http://schemas.microsoft.com/office/2006/relationships/activeXControlBinary" Target="activeX103.bin"/></Relationships>
</file>

<file path=xl/activeX/_rels/activeX104.xml.rels><?xml version="1.0" encoding="UTF-8" standalone="yes"?>
<Relationships xmlns="http://schemas.openxmlformats.org/package/2006/relationships"><Relationship Id="rId1" Type="http://schemas.microsoft.com/office/2006/relationships/activeXControlBinary" Target="activeX104.bin"/></Relationships>
</file>

<file path=xl/activeX/_rels/activeX105.xml.rels><?xml version="1.0" encoding="UTF-8" standalone="yes"?>
<Relationships xmlns="http://schemas.openxmlformats.org/package/2006/relationships"><Relationship Id="rId1" Type="http://schemas.microsoft.com/office/2006/relationships/activeXControlBinary" Target="activeX105.bin"/></Relationships>
</file>

<file path=xl/activeX/_rels/activeX106.xml.rels><?xml version="1.0" encoding="UTF-8" standalone="yes"?>
<Relationships xmlns="http://schemas.openxmlformats.org/package/2006/relationships"><Relationship Id="rId1" Type="http://schemas.microsoft.com/office/2006/relationships/activeXControlBinary" Target="activeX106.bin"/></Relationships>
</file>

<file path=xl/activeX/_rels/activeX107.xml.rels><?xml version="1.0" encoding="UTF-8" standalone="yes"?>
<Relationships xmlns="http://schemas.openxmlformats.org/package/2006/relationships"><Relationship Id="rId1" Type="http://schemas.microsoft.com/office/2006/relationships/activeXControlBinary" Target="activeX107.bin"/></Relationships>
</file>

<file path=xl/activeX/_rels/activeX108.xml.rels><?xml version="1.0" encoding="UTF-8" standalone="yes"?>
<Relationships xmlns="http://schemas.openxmlformats.org/package/2006/relationships"><Relationship Id="rId1" Type="http://schemas.microsoft.com/office/2006/relationships/activeXControlBinary" Target="activeX108.bin"/></Relationships>
</file>

<file path=xl/activeX/_rels/activeX109.xml.rels><?xml version="1.0" encoding="UTF-8" standalone="yes"?>
<Relationships xmlns="http://schemas.openxmlformats.org/package/2006/relationships"><Relationship Id="rId1" Type="http://schemas.microsoft.com/office/2006/relationships/activeXControlBinary" Target="activeX109.bin"/></Relationships>
</file>

<file path=xl/activeX/_rels/activeX110.xml.rels><?xml version="1.0" encoding="UTF-8" standalone="yes"?>
<Relationships xmlns="http://schemas.openxmlformats.org/package/2006/relationships"><Relationship Id="rId1" Type="http://schemas.microsoft.com/office/2006/relationships/activeXControlBinary" Target="activeX110.bin"/></Relationships>
</file>

<file path=xl/activeX/_rels/activeX111.xml.rels><?xml version="1.0" encoding="UTF-8" standalone="yes"?>
<Relationships xmlns="http://schemas.openxmlformats.org/package/2006/relationships"><Relationship Id="rId1" Type="http://schemas.microsoft.com/office/2006/relationships/activeXControlBinary" Target="activeX111.bin"/></Relationships>
</file>

<file path=xl/activeX/_rels/activeX112.xml.rels><?xml version="1.0" encoding="UTF-8" standalone="yes"?>
<Relationships xmlns="http://schemas.openxmlformats.org/package/2006/relationships"><Relationship Id="rId1" Type="http://schemas.microsoft.com/office/2006/relationships/activeXControlBinary" Target="activeX112.bin"/></Relationships>
</file>

<file path=xl/activeX/_rels/activeX113.xml.rels><?xml version="1.0" encoding="UTF-8" standalone="yes"?>
<Relationships xmlns="http://schemas.openxmlformats.org/package/2006/relationships"><Relationship Id="rId1" Type="http://schemas.microsoft.com/office/2006/relationships/activeXControlBinary" Target="activeX113.bin"/></Relationships>
</file>

<file path=xl/activeX/_rels/activeX114.xml.rels><?xml version="1.0" encoding="UTF-8" standalone="yes"?>
<Relationships xmlns="http://schemas.openxmlformats.org/package/2006/relationships"><Relationship Id="rId1" Type="http://schemas.microsoft.com/office/2006/relationships/activeXControlBinary" Target="activeX114.bin"/></Relationships>
</file>

<file path=xl/activeX/_rels/activeX115.xml.rels><?xml version="1.0" encoding="UTF-8" standalone="yes"?>
<Relationships xmlns="http://schemas.openxmlformats.org/package/2006/relationships"><Relationship Id="rId1" Type="http://schemas.microsoft.com/office/2006/relationships/activeXControlBinary" Target="activeX115.bin"/></Relationships>
</file>

<file path=xl/activeX/_rels/activeX116.xml.rels><?xml version="1.0" encoding="UTF-8" standalone="yes"?>
<Relationships xmlns="http://schemas.openxmlformats.org/package/2006/relationships"><Relationship Id="rId1" Type="http://schemas.microsoft.com/office/2006/relationships/activeXControlBinary" Target="activeX116.bin"/></Relationships>
</file>

<file path=xl/activeX/_rels/activeX117.xml.rels><?xml version="1.0" encoding="UTF-8" standalone="yes"?>
<Relationships xmlns="http://schemas.openxmlformats.org/package/2006/relationships"><Relationship Id="rId1" Type="http://schemas.microsoft.com/office/2006/relationships/activeXControlBinary" Target="activeX117.bin"/></Relationships>
</file>

<file path=xl/activeX/_rels/activeX118.xml.rels><?xml version="1.0" encoding="UTF-8" standalone="yes"?>
<Relationships xmlns="http://schemas.openxmlformats.org/package/2006/relationships"><Relationship Id="rId1" Type="http://schemas.microsoft.com/office/2006/relationships/activeXControlBinary" Target="activeX118.bin"/></Relationships>
</file>

<file path=xl/activeX/_rels/activeX119.xml.rels><?xml version="1.0" encoding="UTF-8" standalone="yes"?>
<Relationships xmlns="http://schemas.openxmlformats.org/package/2006/relationships"><Relationship Id="rId1" Type="http://schemas.microsoft.com/office/2006/relationships/activeXControlBinary" Target="activeX119.bin"/></Relationships>
</file>

<file path=xl/activeX/_rels/activeX120.xml.rels><?xml version="1.0" encoding="UTF-8" standalone="yes"?>
<Relationships xmlns="http://schemas.openxmlformats.org/package/2006/relationships"><Relationship Id="rId1" Type="http://schemas.microsoft.com/office/2006/relationships/activeXControlBinary" Target="activeX120.bin"/></Relationships>
</file>

<file path=xl/activeX/_rels/activeX121.xml.rels><?xml version="1.0" encoding="UTF-8" standalone="yes"?>
<Relationships xmlns="http://schemas.openxmlformats.org/package/2006/relationships"><Relationship Id="rId1" Type="http://schemas.microsoft.com/office/2006/relationships/activeXControlBinary" Target="activeX121.bin"/></Relationships>
</file>

<file path=xl/activeX/_rels/activeX122.xml.rels><?xml version="1.0" encoding="UTF-8" standalone="yes"?>
<Relationships xmlns="http://schemas.openxmlformats.org/package/2006/relationships"><Relationship Id="rId1" Type="http://schemas.microsoft.com/office/2006/relationships/activeXControlBinary" Target="activeX12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8BD21D40-EC42-11CE-9E0D-00AA006002F3}" ax:persistence="persistStreamInit" r:id="rId1"/>
</file>

<file path=xl/activeX/activeX46.xml><?xml version="1.0" encoding="utf-8"?>
<ax:ocx xmlns:ax="http://schemas.microsoft.com/office/2006/activeX" xmlns:r="http://schemas.openxmlformats.org/officeDocument/2006/relationships" ax:classid="{8BD21D40-EC42-11CE-9E0D-00AA006002F3}" ax:persistence="persistStreamInit" r:id="rId1"/>
</file>

<file path=xl/activeX/activeX47.xml><?xml version="1.0" encoding="utf-8"?>
<ax:ocx xmlns:ax="http://schemas.microsoft.com/office/2006/activeX" xmlns:r="http://schemas.openxmlformats.org/officeDocument/2006/relationships" ax:classid="{D7053240-CE69-11CD-A777-00DD01143C57}" ax:persistence="persistStreamInit" r:id="rId1"/>
</file>

<file path=xl/activeX/activeX48.xml><?xml version="1.0" encoding="utf-8"?>
<ax:ocx xmlns:ax="http://schemas.microsoft.com/office/2006/activeX" xmlns:r="http://schemas.openxmlformats.org/officeDocument/2006/relationships" ax:classid="{D7053240-CE69-11CD-A777-00DD01143C57}" ax:persistence="persistStreamInit" r:id="rId1"/>
</file>

<file path=xl/activeX/activeX49.xml><?xml version="1.0" encoding="utf-8"?>
<ax:ocx xmlns:ax="http://schemas.microsoft.com/office/2006/activeX" xmlns:r="http://schemas.openxmlformats.org/officeDocument/2006/relationships" ax:classid="{D7053240-CE69-11CD-A777-00DD01143C57}" ax:persistence="persistStreamInit" r:id="rId1"/>
</file>

<file path=xl/activeX/activeX50.xml><?xml version="1.0" encoding="utf-8"?>
<ax:ocx xmlns:ax="http://schemas.microsoft.com/office/2006/activeX" xmlns:r="http://schemas.openxmlformats.org/officeDocument/2006/relationships" ax:classid="{D7053240-CE69-11CD-A777-00DD01143C57}" ax:persistence="persistStreamInit" r:id="rId1"/>
</file>

<file path=xl/activeX/activeX51.xml><?xml version="1.0" encoding="utf-8"?>
<ax:ocx xmlns:ax="http://schemas.microsoft.com/office/2006/activeX" xmlns:r="http://schemas.openxmlformats.org/officeDocument/2006/relationships" ax:classid="{D7053240-CE69-11CD-A777-00DD01143C57}" ax:persistence="persistStreamInit" r:id="rId1"/>
</file>

<file path=xl/activeX/activeX52.xml><?xml version="1.0" encoding="utf-8"?>
<ax:ocx xmlns:ax="http://schemas.microsoft.com/office/2006/activeX" xmlns:r="http://schemas.openxmlformats.org/officeDocument/2006/relationships" ax:classid="{D7053240-CE69-11CD-A777-00DD01143C57}" ax:persistence="persistStreamInit" r:id="rId1"/>
</file>

<file path=xl/activeX/activeX53.xml><?xml version="1.0" encoding="utf-8"?>
<ax:ocx xmlns:ax="http://schemas.microsoft.com/office/2006/activeX" xmlns:r="http://schemas.openxmlformats.org/officeDocument/2006/relationships" ax:classid="{D7053240-CE69-11CD-A777-00DD01143C57}" ax:persistence="persistStreamInit" r:id="rId1"/>
</file>

<file path=xl/activeX/activeX54.xml><?xml version="1.0" encoding="utf-8"?>
<ax:ocx xmlns:ax="http://schemas.microsoft.com/office/2006/activeX" xmlns:r="http://schemas.openxmlformats.org/officeDocument/2006/relationships" ax:classid="{D7053240-CE69-11CD-A777-00DD01143C57}" ax:persistence="persistStreamInit" r:id="rId1"/>
</file>

<file path=xl/activeX/activeX55.xml><?xml version="1.0" encoding="utf-8"?>
<ax:ocx xmlns:ax="http://schemas.microsoft.com/office/2006/activeX" xmlns:r="http://schemas.openxmlformats.org/officeDocument/2006/relationships" ax:classid="{D7053240-CE69-11CD-A777-00DD01143C57}" ax:persistence="persistStreamInit" r:id="rId1"/>
</file>

<file path=xl/activeX/activeX56.xml><?xml version="1.0" encoding="utf-8"?>
<ax:ocx xmlns:ax="http://schemas.microsoft.com/office/2006/activeX" xmlns:r="http://schemas.openxmlformats.org/officeDocument/2006/relationships" ax:classid="{D7053240-CE69-11CD-A777-00DD01143C57}" ax:persistence="persistStreamInit" r:id="rId1"/>
</file>

<file path=xl/activeX/activeX57.xml><?xml version="1.0" encoding="utf-8"?>
<ax:ocx xmlns:ax="http://schemas.microsoft.com/office/2006/activeX" xmlns:r="http://schemas.openxmlformats.org/officeDocument/2006/relationships" ax:classid="{D7053240-CE69-11CD-A777-00DD01143C57}" ax:persistence="persistStreamInit" r:id="rId1"/>
</file>

<file path=xl/activeX/activeX58.xml><?xml version="1.0" encoding="utf-8"?>
<ax:ocx xmlns:ax="http://schemas.microsoft.com/office/2006/activeX" xmlns:r="http://schemas.openxmlformats.org/officeDocument/2006/relationships" ax:classid="{D7053240-CE69-11CD-A777-00DD01143C57}" ax:persistence="persistStreamInit" r:id="rId1"/>
</file>

<file path=xl/activeX/activeX59.xml><?xml version="1.0" encoding="utf-8"?>
<ax:ocx xmlns:ax="http://schemas.microsoft.com/office/2006/activeX" xmlns:r="http://schemas.openxmlformats.org/officeDocument/2006/relationships" ax:classid="{D7053240-CE69-11CD-A777-00DD01143C57}" ax:persistence="persistStreamInit" r:id="rId1"/>
</file>

<file path=xl/activeX/activeX60.xml><?xml version="1.0" encoding="utf-8"?>
<ax:ocx xmlns:ax="http://schemas.microsoft.com/office/2006/activeX" xmlns:r="http://schemas.openxmlformats.org/officeDocument/2006/relationships" ax:classid="{D7053240-CE69-11CD-A777-00DD01143C57}" ax:persistence="persistStreamInit" r:id="rId1"/>
</file>

<file path=xl/activeX/activeX61.xml><?xml version="1.0" encoding="utf-8"?>
<ax:ocx xmlns:ax="http://schemas.microsoft.com/office/2006/activeX" xmlns:r="http://schemas.openxmlformats.org/officeDocument/2006/relationships" ax:classid="{D7053240-CE69-11CD-A777-00DD01143C57}" ax:persistence="persistStreamInit" r:id="rId1"/>
</file>

<file path=xl/activeX/activeX62.xml><?xml version="1.0" encoding="utf-8"?>
<ax:ocx xmlns:ax="http://schemas.microsoft.com/office/2006/activeX" xmlns:r="http://schemas.openxmlformats.org/officeDocument/2006/relationships" ax:classid="{D7053240-CE69-11CD-A777-00DD01143C57}" ax:persistence="persistStreamInit" r:id="rId1"/>
</file>

<file path=xl/activeX/activeX63.xml><?xml version="1.0" encoding="utf-8"?>
<ax:ocx xmlns:ax="http://schemas.microsoft.com/office/2006/activeX" xmlns:r="http://schemas.openxmlformats.org/officeDocument/2006/relationships" ax:classid="{D7053240-CE69-11CD-A777-00DD01143C57}" ax:persistence="persistStreamInit" r:id="rId1"/>
</file>

<file path=xl/activeX/activeX64.xml><?xml version="1.0" encoding="utf-8"?>
<ax:ocx xmlns:ax="http://schemas.microsoft.com/office/2006/activeX" xmlns:r="http://schemas.openxmlformats.org/officeDocument/2006/relationships" ax:classid="{D7053240-CE69-11CD-A777-00DD01143C57}" ax:persistence="persistStreamInit" r:id="rId1"/>
</file>

<file path=xl/activeX/activeX65.xml><?xml version="1.0" encoding="utf-8"?>
<ax:ocx xmlns:ax="http://schemas.microsoft.com/office/2006/activeX" xmlns:r="http://schemas.openxmlformats.org/officeDocument/2006/relationships" ax:classid="{8BD21D40-EC42-11CE-9E0D-00AA006002F3}" ax:persistence="persistStreamInit" r:id="rId1"/>
</file>

<file path=xl/activeX/activeX66.xml><?xml version="1.0" encoding="utf-8"?>
<ax:ocx xmlns:ax="http://schemas.microsoft.com/office/2006/activeX" xmlns:r="http://schemas.openxmlformats.org/officeDocument/2006/relationships" ax:classid="{8BD21D40-EC42-11CE-9E0D-00AA006002F3}" ax:persistence="persistStreamInit" r:id="rId1"/>
</file>

<file path=xl/activeX/activeX67.xml><?xml version="1.0" encoding="utf-8"?>
<ax:ocx xmlns:ax="http://schemas.microsoft.com/office/2006/activeX" xmlns:r="http://schemas.openxmlformats.org/officeDocument/2006/relationships" ax:classid="{8BD21D40-EC42-11CE-9E0D-00AA006002F3}" ax:persistence="persistStreamInit" r:id="rId1"/>
</file>

<file path=xl/activeX/activeX68.xml><?xml version="1.0" encoding="utf-8"?>
<ax:ocx xmlns:ax="http://schemas.microsoft.com/office/2006/activeX" xmlns:r="http://schemas.openxmlformats.org/officeDocument/2006/relationships" ax:classid="{8BD21D40-EC42-11CE-9E0D-00AA006002F3}" ax:persistence="persistStreamInit" r:id="rId1"/>
</file>

<file path=xl/activeX/activeX69.xml><?xml version="1.0" encoding="utf-8"?>
<ax:ocx xmlns:ax="http://schemas.microsoft.com/office/2006/activeX" xmlns:r="http://schemas.openxmlformats.org/officeDocument/2006/relationships" ax:classid="{D7053240-CE69-11CD-A777-00DD01143C57}" ax:persistence="persistStreamInit" r:id="rId1"/>
</file>

<file path=xl/activeX/activeX70.xml><?xml version="1.0" encoding="utf-8"?>
<ax:ocx xmlns:ax="http://schemas.microsoft.com/office/2006/activeX" xmlns:r="http://schemas.openxmlformats.org/officeDocument/2006/relationships" ax:classid="{D7053240-CE69-11CD-A777-00DD01143C57}" ax:persistence="persistStreamInit" r:id="rId1"/>
</file>

<file path=xl/activeX/activeX71.xml><?xml version="1.0" encoding="utf-8"?>
<ax:ocx xmlns:ax="http://schemas.microsoft.com/office/2006/activeX" xmlns:r="http://schemas.openxmlformats.org/officeDocument/2006/relationships" ax:classid="{D7053240-CE69-11CD-A777-00DD01143C57}" ax:persistence="persistStreamInit" r:id="rId1"/>
</file>

<file path=xl/activeX/activeX72.xml><?xml version="1.0" encoding="utf-8"?>
<ax:ocx xmlns:ax="http://schemas.microsoft.com/office/2006/activeX" xmlns:r="http://schemas.openxmlformats.org/officeDocument/2006/relationships" ax:classid="{8BD21D40-EC42-11CE-9E0D-00AA006002F3}" ax:persistence="persistStreamInit" r:id="rId1"/>
</file>

<file path=xl/activeX/activeX73.xml><?xml version="1.0" encoding="utf-8"?>
<ax:ocx xmlns:ax="http://schemas.microsoft.com/office/2006/activeX" xmlns:r="http://schemas.openxmlformats.org/officeDocument/2006/relationships" ax:classid="{8BD21D40-EC42-11CE-9E0D-00AA006002F3}" ax:persistence="persistStreamInit" r:id="rId1"/>
</file>

<file path=xl/activeX/activeX74.xml><?xml version="1.0" encoding="utf-8"?>
<ax:ocx xmlns:ax="http://schemas.microsoft.com/office/2006/activeX" xmlns:r="http://schemas.openxmlformats.org/officeDocument/2006/relationships" ax:classid="{D7053240-CE69-11CD-A777-00DD01143C57}" ax:persistence="persistStreamInit" r:id="rId1"/>
</file>

<file path=xl/activeX/activeX75.xml><?xml version="1.0" encoding="utf-8"?>
<ax:ocx xmlns:ax="http://schemas.microsoft.com/office/2006/activeX" xmlns:r="http://schemas.openxmlformats.org/officeDocument/2006/relationships" ax:classid="{D7053240-CE69-11CD-A777-00DD01143C57}" ax:persistence="persistStreamInit" r:id="rId1"/>
</file>

<file path=xl/activeX/activeX76.xml><?xml version="1.0" encoding="utf-8"?>
<ax:ocx xmlns:ax="http://schemas.microsoft.com/office/2006/activeX" xmlns:r="http://schemas.openxmlformats.org/officeDocument/2006/relationships" ax:classid="{D7053240-CE69-11CD-A777-00DD01143C57}" ax:persistence="persistStreamInit" r:id="rId1"/>
</file>

<file path=xl/activeX/activeX77.xml><?xml version="1.0" encoding="utf-8"?>
<ax:ocx xmlns:ax="http://schemas.microsoft.com/office/2006/activeX" xmlns:r="http://schemas.openxmlformats.org/officeDocument/2006/relationships" ax:classid="{D7053240-CE69-11CD-A777-00DD01143C57}" ax:persistence="persistStreamInit" r:id="rId1"/>
</file>

<file path=xl/activeX/activeX78.xml><?xml version="1.0" encoding="utf-8"?>
<ax:ocx xmlns:ax="http://schemas.microsoft.com/office/2006/activeX" xmlns:r="http://schemas.openxmlformats.org/officeDocument/2006/relationships" ax:classid="{D7053240-CE69-11CD-A777-00DD01143C57}" ax:persistence="persistStreamInit" r:id="rId1"/>
</file>

<file path=xl/activeX/activeX79.xml><?xml version="1.0" encoding="utf-8"?>
<ax:ocx xmlns:ax="http://schemas.microsoft.com/office/2006/activeX" xmlns:r="http://schemas.openxmlformats.org/officeDocument/2006/relationships" ax:classid="{D7053240-CE69-11CD-A777-00DD01143C57}" ax:persistence="persistStreamInit" r:id="rId1"/>
</file>

<file path=xl/activeX/activeX80.xml><?xml version="1.0" encoding="utf-8"?>
<ax:ocx xmlns:ax="http://schemas.microsoft.com/office/2006/activeX" xmlns:r="http://schemas.openxmlformats.org/officeDocument/2006/relationships" ax:classid="{D7053240-CE69-11CD-A777-00DD01143C57}" ax:persistence="persistStreamInit" r:id="rId1"/>
</file>

<file path=xl/activeX/activeX81.xml><?xml version="1.0" encoding="utf-8"?>
<ax:ocx xmlns:ax="http://schemas.microsoft.com/office/2006/activeX" xmlns:r="http://schemas.openxmlformats.org/officeDocument/2006/relationships" ax:classid="{D7053240-CE69-11CD-A777-00DD01143C57}" ax:persistence="persistStreamInit" r:id="rId1"/>
</file>

<file path=xl/activeX/activeX82.xml><?xml version="1.0" encoding="utf-8"?>
<ax:ocx xmlns:ax="http://schemas.microsoft.com/office/2006/activeX" xmlns:r="http://schemas.openxmlformats.org/officeDocument/2006/relationships" ax:classid="{D7053240-CE69-11CD-A777-00DD01143C57}" ax:persistence="persistStreamInit" r:id="rId1"/>
</file>

<file path=xl/activeX/activeX83.xml><?xml version="1.0" encoding="utf-8"?>
<ax:ocx xmlns:ax="http://schemas.microsoft.com/office/2006/activeX" xmlns:r="http://schemas.openxmlformats.org/officeDocument/2006/relationships" ax:classid="{D7053240-CE69-11CD-A777-00DD01143C57}" ax:persistence="persistStreamInit" r:id="rId1"/>
</file>

<file path=xl/activeX/activeX84.xml><?xml version="1.0" encoding="utf-8"?>
<ax:ocx xmlns:ax="http://schemas.microsoft.com/office/2006/activeX" xmlns:r="http://schemas.openxmlformats.org/officeDocument/2006/relationships" ax:classid="{D7053240-CE69-11CD-A777-00DD01143C57}" ax:persistence="persistStreamInit" r:id="rId1"/>
</file>

<file path=xl/activeX/activeX85.xml><?xml version="1.0" encoding="utf-8"?>
<ax:ocx xmlns:ax="http://schemas.microsoft.com/office/2006/activeX" xmlns:r="http://schemas.openxmlformats.org/officeDocument/2006/relationships" ax:classid="{D7053240-CE69-11CD-A777-00DD01143C57}" ax:persistence="persistStreamInit" r:id="rId1"/>
</file>

<file path=xl/activeX/activeX86.xml><?xml version="1.0" encoding="utf-8"?>
<ax:ocx xmlns:ax="http://schemas.microsoft.com/office/2006/activeX" xmlns:r="http://schemas.openxmlformats.org/officeDocument/2006/relationships" ax:classid="{D7053240-CE69-11CD-A777-00DD01143C57}" ax:persistence="persistStreamInit" r:id="rId1"/>
</file>

<file path=xl/activeX/activeX87.xml><?xml version="1.0" encoding="utf-8"?>
<ax:ocx xmlns:ax="http://schemas.microsoft.com/office/2006/activeX" xmlns:r="http://schemas.openxmlformats.org/officeDocument/2006/relationships" ax:classid="{D7053240-CE69-11CD-A777-00DD01143C57}" ax:persistence="persistStreamInit" r:id="rId1"/>
</file>

<file path=xl/activeX/activeX88.xml><?xml version="1.0" encoding="utf-8"?>
<ax:ocx xmlns:ax="http://schemas.microsoft.com/office/2006/activeX" xmlns:r="http://schemas.openxmlformats.org/officeDocument/2006/relationships" ax:classid="{D7053240-CE69-11CD-A777-00DD01143C57}" ax:persistence="persistStreamInit" r:id="rId1"/>
</file>

<file path=xl/activeX/activeX89.xml><?xml version="1.0" encoding="utf-8"?>
<ax:ocx xmlns:ax="http://schemas.microsoft.com/office/2006/activeX" xmlns:r="http://schemas.openxmlformats.org/officeDocument/2006/relationships" ax:classid="{D7053240-CE69-11CD-A777-00DD01143C57}" ax:persistence="persistStreamInit" r:id="rId1"/>
</file>

<file path=xl/activeX/activeX90.xml><?xml version="1.0" encoding="utf-8"?>
<ax:ocx xmlns:ax="http://schemas.microsoft.com/office/2006/activeX" xmlns:r="http://schemas.openxmlformats.org/officeDocument/2006/relationships" ax:classid="{D7053240-CE69-11CD-A777-00DD01143C57}" ax:persistence="persistStreamInit" r:id="rId1"/>
</file>

<file path=xl/activeX/activeX91.xml><?xml version="1.0" encoding="utf-8"?>
<ax:ocx xmlns:ax="http://schemas.microsoft.com/office/2006/activeX" xmlns:r="http://schemas.openxmlformats.org/officeDocument/2006/relationships" ax:classid="{D7053240-CE69-11CD-A777-00DD01143C57}" ax:persistence="persistStreamInit" r:id="rId1"/>
</file>

<file path=xl/activeX/activeX92.xml><?xml version="1.0" encoding="utf-8"?>
<ax:ocx xmlns:ax="http://schemas.microsoft.com/office/2006/activeX" xmlns:r="http://schemas.openxmlformats.org/officeDocument/2006/relationships" ax:classid="{D7053240-CE69-11CD-A777-00DD01143C57}" ax:persistence="persistStreamInit" r:id="rId1"/>
</file>

<file path=xl/activeX/activeX93.xml><?xml version="1.0" encoding="utf-8"?>
<ax:ocx xmlns:ax="http://schemas.microsoft.com/office/2006/activeX" xmlns:r="http://schemas.openxmlformats.org/officeDocument/2006/relationships" ax:classid="{D7053240-CE69-11CD-A777-00DD01143C57}" ax:persistence="persistStreamInit" r:id="rId1"/>
</file>

<file path=xl/activeX/activeX94.xml><?xml version="1.0" encoding="utf-8"?>
<ax:ocx xmlns:ax="http://schemas.microsoft.com/office/2006/activeX" xmlns:r="http://schemas.openxmlformats.org/officeDocument/2006/relationships" ax:classid="{D7053240-CE69-11CD-A777-00DD01143C57}" ax:persistence="persistStreamInit" r:id="rId1"/>
</file>

<file path=xl/activeX/activeX95.xml><?xml version="1.0" encoding="utf-8"?>
<ax:ocx xmlns:ax="http://schemas.microsoft.com/office/2006/activeX" xmlns:r="http://schemas.openxmlformats.org/officeDocument/2006/relationships" ax:classid="{D7053240-CE69-11CD-A777-00DD01143C57}" ax:persistence="persistStreamInit" r:id="rId1"/>
</file>

<file path=xl/activeX/activeX96.xml><?xml version="1.0" encoding="utf-8"?>
<ax:ocx xmlns:ax="http://schemas.microsoft.com/office/2006/activeX" xmlns:r="http://schemas.openxmlformats.org/officeDocument/2006/relationships" ax:classid="{D7053240-CE69-11CD-A777-00DD01143C57}" ax:persistence="persistStreamInit" r:id="rId1"/>
</file>

<file path=xl/activeX/activeX97.xml><?xml version="1.0" encoding="utf-8"?>
<ax:ocx xmlns:ax="http://schemas.microsoft.com/office/2006/activeX" xmlns:r="http://schemas.openxmlformats.org/officeDocument/2006/relationships" ax:classid="{D7053240-CE69-11CD-A777-00DD01143C57}" ax:persistence="persistStreamInit" r:id="rId1"/>
</file>

<file path=xl/activeX/activeX98.xml><?xml version="1.0" encoding="utf-8"?>
<ax:ocx xmlns:ax="http://schemas.microsoft.com/office/2006/activeX" xmlns:r="http://schemas.openxmlformats.org/officeDocument/2006/relationships" ax:classid="{D7053240-CE69-11CD-A777-00DD01143C57}" ax:persistence="persistStreamInit" r:id="rId1"/>
</file>

<file path=xl/activeX/activeX99.xml><?xml version="1.0" encoding="utf-8"?>
<ax:ocx xmlns:ax="http://schemas.microsoft.com/office/2006/activeX" xmlns:r="http://schemas.openxmlformats.org/officeDocument/2006/relationships" ax:classid="{D7053240-CE69-11CD-A777-00DD01143C57}" ax:persistence="persistStreamInit" r:id="rId1"/>
</file>

<file path=xl/activeX/activeX100.xml><?xml version="1.0" encoding="utf-8"?>
<ax:ocx xmlns:ax="http://schemas.microsoft.com/office/2006/activeX" xmlns:r="http://schemas.openxmlformats.org/officeDocument/2006/relationships" ax:classid="{D7053240-CE69-11CD-A777-00DD01143C57}" ax:persistence="persistStreamInit" r:id="rId1"/>
</file>

<file path=xl/activeX/activeX101.xml><?xml version="1.0" encoding="utf-8"?>
<ax:ocx xmlns:ax="http://schemas.microsoft.com/office/2006/activeX" xmlns:r="http://schemas.openxmlformats.org/officeDocument/2006/relationships" ax:classid="{D7053240-CE69-11CD-A777-00DD01143C57}" ax:persistence="persistStreamInit" r:id="rId1"/>
</file>

<file path=xl/activeX/activeX102.xml><?xml version="1.0" encoding="utf-8"?>
<ax:ocx xmlns:ax="http://schemas.microsoft.com/office/2006/activeX" xmlns:r="http://schemas.openxmlformats.org/officeDocument/2006/relationships" ax:classid="{8BD21D40-EC42-11CE-9E0D-00AA006002F3}" ax:persistence="persistStreamInit" r:id="rId1"/>
</file>

<file path=xl/activeX/activeX103.xml><?xml version="1.0" encoding="utf-8"?>
<ax:ocx xmlns:ax="http://schemas.microsoft.com/office/2006/activeX" xmlns:r="http://schemas.openxmlformats.org/officeDocument/2006/relationships" ax:classid="{D7053240-CE69-11CD-A777-00DD01143C57}" ax:persistence="persistStreamInit" r:id="rId1"/>
</file>

<file path=xl/activeX/activeX104.xml><?xml version="1.0" encoding="utf-8"?>
<ax:ocx xmlns:ax="http://schemas.microsoft.com/office/2006/activeX" xmlns:r="http://schemas.openxmlformats.org/officeDocument/2006/relationships" ax:classid="{D7053240-CE69-11CD-A777-00DD01143C57}" ax:persistence="persistStreamInit" r:id="rId1"/>
</file>

<file path=xl/activeX/activeX105.xml><?xml version="1.0" encoding="utf-8"?>
<ax:ocx xmlns:ax="http://schemas.microsoft.com/office/2006/activeX" xmlns:r="http://schemas.openxmlformats.org/officeDocument/2006/relationships" ax:classid="{D7053240-CE69-11CD-A777-00DD01143C57}" ax:persistence="persistStreamInit" r:id="rId1"/>
</file>

<file path=xl/activeX/activeX106.xml><?xml version="1.0" encoding="utf-8"?>
<ax:ocx xmlns:ax="http://schemas.microsoft.com/office/2006/activeX" xmlns:r="http://schemas.openxmlformats.org/officeDocument/2006/relationships" ax:classid="{D7053240-CE69-11CD-A777-00DD01143C57}" ax:persistence="persistStreamInit" r:id="rId1"/>
</file>

<file path=xl/activeX/activeX107.xml><?xml version="1.0" encoding="utf-8"?>
<ax:ocx xmlns:ax="http://schemas.microsoft.com/office/2006/activeX" xmlns:r="http://schemas.openxmlformats.org/officeDocument/2006/relationships" ax:classid="{D7053240-CE69-11CD-A777-00DD01143C57}" ax:persistence="persistStreamInit" r:id="rId1"/>
</file>

<file path=xl/activeX/activeX108.xml><?xml version="1.0" encoding="utf-8"?>
<ax:ocx xmlns:ax="http://schemas.microsoft.com/office/2006/activeX" xmlns:r="http://schemas.openxmlformats.org/officeDocument/2006/relationships" ax:classid="{D7053240-CE69-11CD-A777-00DD01143C57}" ax:persistence="persistStreamInit" r:id="rId1"/>
</file>

<file path=xl/activeX/activeX109.xml><?xml version="1.0" encoding="utf-8"?>
<ax:ocx xmlns:ax="http://schemas.microsoft.com/office/2006/activeX" xmlns:r="http://schemas.openxmlformats.org/officeDocument/2006/relationships" ax:classid="{D7053240-CE69-11CD-A777-00DD01143C57}" ax:persistence="persistStreamInit" r:id="rId1"/>
</file>

<file path=xl/activeX/activeX110.xml><?xml version="1.0" encoding="utf-8"?>
<ax:ocx xmlns:ax="http://schemas.microsoft.com/office/2006/activeX" xmlns:r="http://schemas.openxmlformats.org/officeDocument/2006/relationships" ax:classid="{D7053240-CE69-11CD-A777-00DD01143C57}" ax:persistence="persistStreamInit" r:id="rId1"/>
</file>

<file path=xl/activeX/activeX111.xml><?xml version="1.0" encoding="utf-8"?>
<ax:ocx xmlns:ax="http://schemas.microsoft.com/office/2006/activeX" xmlns:r="http://schemas.openxmlformats.org/officeDocument/2006/relationships" ax:classid="{D7053240-CE69-11CD-A777-00DD01143C57}" ax:persistence="persistStreamInit" r:id="rId1"/>
</file>

<file path=xl/activeX/activeX112.xml><?xml version="1.0" encoding="utf-8"?>
<ax:ocx xmlns:ax="http://schemas.microsoft.com/office/2006/activeX" xmlns:r="http://schemas.openxmlformats.org/officeDocument/2006/relationships" ax:classid="{D7053240-CE69-11CD-A777-00DD01143C57}" ax:persistence="persistStreamInit" r:id="rId1"/>
</file>

<file path=xl/activeX/activeX113.xml><?xml version="1.0" encoding="utf-8"?>
<ax:ocx xmlns:ax="http://schemas.microsoft.com/office/2006/activeX" xmlns:r="http://schemas.openxmlformats.org/officeDocument/2006/relationships" ax:classid="{D7053240-CE69-11CD-A777-00DD01143C57}" ax:persistence="persistStreamInit" r:id="rId1"/>
</file>

<file path=xl/activeX/activeX114.xml><?xml version="1.0" encoding="utf-8"?>
<ax:ocx xmlns:ax="http://schemas.microsoft.com/office/2006/activeX" xmlns:r="http://schemas.openxmlformats.org/officeDocument/2006/relationships" ax:classid="{D7053240-CE69-11CD-A777-00DD01143C57}" ax:persistence="persistStreamInit" r:id="rId1"/>
</file>

<file path=xl/activeX/activeX115.xml><?xml version="1.0" encoding="utf-8"?>
<ax:ocx xmlns:ax="http://schemas.microsoft.com/office/2006/activeX" xmlns:r="http://schemas.openxmlformats.org/officeDocument/2006/relationships" ax:classid="{D7053240-CE69-11CD-A777-00DD01143C57}" ax:persistence="persistStreamInit" r:id="rId1"/>
</file>

<file path=xl/activeX/activeX116.xml><?xml version="1.0" encoding="utf-8"?>
<ax:ocx xmlns:ax="http://schemas.microsoft.com/office/2006/activeX" xmlns:r="http://schemas.openxmlformats.org/officeDocument/2006/relationships" ax:classid="{D7053240-CE69-11CD-A777-00DD01143C57}" ax:persistence="persistStreamInit" r:id="rId1"/>
</file>

<file path=xl/activeX/activeX117.xml><?xml version="1.0" encoding="utf-8"?>
<ax:ocx xmlns:ax="http://schemas.microsoft.com/office/2006/activeX" xmlns:r="http://schemas.openxmlformats.org/officeDocument/2006/relationships" ax:classid="{D7053240-CE69-11CD-A777-00DD01143C57}" ax:persistence="persistStreamInit" r:id="rId1"/>
</file>

<file path=xl/activeX/activeX118.xml><?xml version="1.0" encoding="utf-8"?>
<ax:ocx xmlns:ax="http://schemas.microsoft.com/office/2006/activeX" xmlns:r="http://schemas.openxmlformats.org/officeDocument/2006/relationships" ax:classid="{D7053240-CE69-11CD-A777-00DD01143C57}" ax:persistence="persistStreamInit" r:id="rId1"/>
</file>

<file path=xl/activeX/activeX119.xml><?xml version="1.0" encoding="utf-8"?>
<ax:ocx xmlns:ax="http://schemas.microsoft.com/office/2006/activeX" xmlns:r="http://schemas.openxmlformats.org/officeDocument/2006/relationships" ax:classid="{D7053240-CE69-11CD-A777-00DD01143C57}" ax:persistence="persistStreamInit" r:id="rId1"/>
</file>

<file path=xl/activeX/activeX120.xml><?xml version="1.0" encoding="utf-8"?>
<ax:ocx xmlns:ax="http://schemas.microsoft.com/office/2006/activeX" xmlns:r="http://schemas.openxmlformats.org/officeDocument/2006/relationships" ax:classid="{D7053240-CE69-11CD-A777-00DD01143C57}" ax:persistence="persistStreamInit" r:id="rId1"/>
</file>

<file path=xl/activeX/activeX121.xml><?xml version="1.0" encoding="utf-8"?>
<ax:ocx xmlns:ax="http://schemas.microsoft.com/office/2006/activeX" xmlns:r="http://schemas.openxmlformats.org/officeDocument/2006/relationships" ax:classid="{D7053240-CE69-11CD-A777-00DD01143C57}" ax:persistence="persistStreamInit" r:id="rId1"/>
</file>

<file path=xl/activeX/activeX122.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png"/></Relationships>
</file>

<file path=xl/drawings/_rels/drawing2.xml.rels><?xml version="1.0" encoding="UTF-8" standalone="yes"?>
<Relationships xmlns="http://schemas.openxmlformats.org/package/2006/relationships"><Relationship Id="rId2" Type="http://schemas.openxmlformats.org/officeDocument/2006/relationships/hyperlink" Target="http://www.emorycamp.org/files/teen-SPARC_Quick_Start_Guide_1.0.pdf" TargetMode="External"/><Relationship Id="rId1" Type="http://schemas.openxmlformats.org/officeDocument/2006/relationships/hyperlink" Target="http://www.emorycamp.org/files/teen-SPARC_Users_Manual_1.0.pdf" TargetMode="External"/></Relationships>
</file>

<file path=xl/drawings/_rels/drawing4.xml.rels><?xml version="1.0" encoding="UTF-8" standalone="yes"?>
<Relationships xmlns="http://schemas.openxmlformats.org/package/2006/relationships"><Relationship Id="rId1" Type="http://schemas.openxmlformats.org/officeDocument/2006/relationships/hyperlink" Target="http://www.emorycamp.org/files/teen-SPARC_Users_Manual_1.0.pdf#page=18" TargetMode="External"/></Relationships>
</file>

<file path=xl/drawings/_rels/drawing5.xml.rels><?xml version="1.0" encoding="UTF-8" standalone="yes"?>
<Relationships xmlns="http://schemas.openxmlformats.org/package/2006/relationships"><Relationship Id="rId1" Type="http://schemas.openxmlformats.org/officeDocument/2006/relationships/hyperlink" Target="http://www.emorycamp.org/files/teen-SPARC_Users_Manual_1.0.pdf#page=22" TargetMode="External"/></Relationships>
</file>

<file path=xl/drawings/_rels/drawing6.xml.rels><?xml version="1.0" encoding="UTF-8" standalone="yes"?>
<Relationships xmlns="http://schemas.openxmlformats.org/package/2006/relationships"><Relationship Id="rId1" Type="http://schemas.openxmlformats.org/officeDocument/2006/relationships/hyperlink" Target="http://www.emorycamp.org/files/teen-SPARC_Users_Manual_1.0.pdf#page=25" TargetMode="External"/></Relationships>
</file>

<file path=xl/drawings/_rels/drawing7.xml.rels><?xml version="1.0" encoding="UTF-8" standalone="yes"?>
<Relationships xmlns="http://schemas.openxmlformats.org/package/2006/relationships"><Relationship Id="rId1" Type="http://schemas.openxmlformats.org/officeDocument/2006/relationships/hyperlink" Target="http://www.emorycamp.org/files/teen-SPARC_Users_Manual_1.0.pdf#page=26" TargetMode="External"/></Relationships>
</file>

<file path=xl/drawings/_rels/drawing8.xml.rels><?xml version="1.0" encoding="UTF-8" standalone="yes"?>
<Relationships xmlns="http://schemas.openxmlformats.org/package/2006/relationships"><Relationship Id="rId1" Type="http://schemas.openxmlformats.org/officeDocument/2006/relationships/hyperlink" Target="http://www.emorycamp.org/files/teen-SPARC_Users_Manual_1.0.pdf#page=27" TargetMode="External"/></Relationships>
</file>

<file path=xl/drawings/_rels/drawing9.xml.rels><?xml version="1.0" encoding="UTF-8" standalone="yes"?>
<Relationships xmlns="http://schemas.openxmlformats.org/package/2006/relationships"><Relationship Id="rId1" Type="http://schemas.openxmlformats.org/officeDocument/2006/relationships/hyperlink" Target="http://www.emorycamp.org/files/teen-SPARC_Users_Manual_1.0.pdf#page=28" TargetMode="External"/></Relationships>
</file>

<file path=xl/drawings/_rels/drawing10.xml.rels><?xml version="1.0" encoding="UTF-8" standalone="yes"?>
<Relationships xmlns="http://schemas.openxmlformats.org/package/2006/relationships"><Relationship Id="rId3" Type="http://schemas.openxmlformats.org/officeDocument/2006/relationships/hyperlink" Target="http://www.emorycamp.org/files/teen-SPARC_Users_Manual_1.0.pdf#page=38" TargetMode="External"/><Relationship Id="rId2" Type="http://schemas.openxmlformats.org/officeDocument/2006/relationships/hyperlink" Target="http://www.emorycamp.org/files/teen-SPARC_Users_Manual_1.0.pdf#page=30" TargetMode="External"/><Relationship Id="rId1" Type="http://schemas.openxmlformats.org/officeDocument/2006/relationships/hyperlink" Target="http://www.emorycamp.org/files/teen-SPARC_Users_Manual_1.0.pdf#page=29" TargetMode="External"/><Relationship Id="rId4" Type="http://schemas.openxmlformats.org/officeDocument/2006/relationships/hyperlink" Target="http://www.emorycamp.org/files/teen-SPARC_Users_Manual_1.0.pdf#page=39" TargetMode="External"/></Relationships>
</file>

<file path=xl/drawings/_rels/vmlDrawing1.vml.rels><?xml version="1.0" encoding="UTF-8" standalone="yes"?>
<Relationships xmlns="http://schemas.openxmlformats.org/package/2006/relationships"><Relationship Id="rId8" Type="http://schemas.openxmlformats.org/officeDocument/2006/relationships/image" Target="../media/image11.emf"/><Relationship Id="rId13" Type="http://schemas.openxmlformats.org/officeDocument/2006/relationships/image" Target="../media/image6.emf"/><Relationship Id="rId3" Type="http://schemas.openxmlformats.org/officeDocument/2006/relationships/image" Target="../media/image16.emf"/><Relationship Id="rId7" Type="http://schemas.openxmlformats.org/officeDocument/2006/relationships/image" Target="../media/image12.emf"/><Relationship Id="rId12" Type="http://schemas.openxmlformats.org/officeDocument/2006/relationships/image" Target="../media/image7.emf"/><Relationship Id="rId2" Type="http://schemas.openxmlformats.org/officeDocument/2006/relationships/image" Target="../media/image17.emf"/><Relationship Id="rId1" Type="http://schemas.openxmlformats.org/officeDocument/2006/relationships/image" Target="../media/image18.emf"/><Relationship Id="rId6" Type="http://schemas.openxmlformats.org/officeDocument/2006/relationships/image" Target="../media/image13.emf"/><Relationship Id="rId11" Type="http://schemas.openxmlformats.org/officeDocument/2006/relationships/image" Target="../media/image8.emf"/><Relationship Id="rId5" Type="http://schemas.openxmlformats.org/officeDocument/2006/relationships/image" Target="../media/image14.emf"/><Relationship Id="rId15" Type="http://schemas.openxmlformats.org/officeDocument/2006/relationships/image" Target="../media/image19.emf"/><Relationship Id="rId10" Type="http://schemas.openxmlformats.org/officeDocument/2006/relationships/image" Target="../media/image9.emf"/><Relationship Id="rId4" Type="http://schemas.openxmlformats.org/officeDocument/2006/relationships/image" Target="../media/image15.emf"/><Relationship Id="rId9" Type="http://schemas.openxmlformats.org/officeDocument/2006/relationships/image" Target="../media/image10.emf"/><Relationship Id="rId14" Type="http://schemas.openxmlformats.org/officeDocument/2006/relationships/image" Target="../media/image5.emf"/></Relationships>
</file>

<file path=xl/drawings/_rels/vmlDrawing2.vml.rels><?xml version="1.0" encoding="UTF-8" standalone="yes"?>
<Relationships xmlns="http://schemas.openxmlformats.org/package/2006/relationships"><Relationship Id="rId8" Type="http://schemas.openxmlformats.org/officeDocument/2006/relationships/image" Target="../media/image27.emf"/><Relationship Id="rId3" Type="http://schemas.openxmlformats.org/officeDocument/2006/relationships/image" Target="../media/image26.emf"/><Relationship Id="rId7" Type="http://schemas.openxmlformats.org/officeDocument/2006/relationships/image" Target="../media/image20.emf"/><Relationship Id="rId12" Type="http://schemas.openxmlformats.org/officeDocument/2006/relationships/image" Target="../media/image31.emf"/><Relationship Id="rId2" Type="http://schemas.openxmlformats.org/officeDocument/2006/relationships/image" Target="../media/image24.emf"/><Relationship Id="rId1" Type="http://schemas.openxmlformats.org/officeDocument/2006/relationships/image" Target="../media/image25.emf"/><Relationship Id="rId6" Type="http://schemas.openxmlformats.org/officeDocument/2006/relationships/image" Target="../media/image21.emf"/><Relationship Id="rId11" Type="http://schemas.openxmlformats.org/officeDocument/2006/relationships/image" Target="../media/image30.emf"/><Relationship Id="rId5" Type="http://schemas.openxmlformats.org/officeDocument/2006/relationships/image" Target="../media/image22.emf"/><Relationship Id="rId10" Type="http://schemas.openxmlformats.org/officeDocument/2006/relationships/image" Target="../media/image29.emf"/><Relationship Id="rId4" Type="http://schemas.openxmlformats.org/officeDocument/2006/relationships/image" Target="../media/image23.emf"/><Relationship Id="rId9" Type="http://schemas.openxmlformats.org/officeDocument/2006/relationships/image" Target="../media/image28.emf"/></Relationships>
</file>

<file path=xl/drawings/_rels/vmlDrawing3.vml.rels><?xml version="1.0" encoding="UTF-8" standalone="yes"?>
<Relationships xmlns="http://schemas.openxmlformats.org/package/2006/relationships"><Relationship Id="rId8" Type="http://schemas.openxmlformats.org/officeDocument/2006/relationships/image" Target="../media/image32.emf"/><Relationship Id="rId3" Type="http://schemas.openxmlformats.org/officeDocument/2006/relationships/image" Target="../media/image36.emf"/><Relationship Id="rId7" Type="http://schemas.openxmlformats.org/officeDocument/2006/relationships/image" Target="../media/image33.emf"/><Relationship Id="rId2" Type="http://schemas.openxmlformats.org/officeDocument/2006/relationships/image" Target="../media/image37.emf"/><Relationship Id="rId1" Type="http://schemas.openxmlformats.org/officeDocument/2006/relationships/image" Target="../media/image38.emf"/><Relationship Id="rId6" Type="http://schemas.openxmlformats.org/officeDocument/2006/relationships/image" Target="../media/image39.emf"/><Relationship Id="rId5" Type="http://schemas.openxmlformats.org/officeDocument/2006/relationships/image" Target="../media/image34.emf"/><Relationship Id="rId4" Type="http://schemas.openxmlformats.org/officeDocument/2006/relationships/image" Target="../media/image35.emf"/></Relationships>
</file>

<file path=xl/drawings/_rels/vmlDrawing4.vml.rels><?xml version="1.0" encoding="UTF-8" standalone="yes"?>
<Relationships xmlns="http://schemas.openxmlformats.org/package/2006/relationships"><Relationship Id="rId8" Type="http://schemas.openxmlformats.org/officeDocument/2006/relationships/image" Target="../media/image41.emf"/><Relationship Id="rId3" Type="http://schemas.openxmlformats.org/officeDocument/2006/relationships/image" Target="../media/image45.emf"/><Relationship Id="rId7" Type="http://schemas.openxmlformats.org/officeDocument/2006/relationships/image" Target="../media/image42.emf"/><Relationship Id="rId2" Type="http://schemas.openxmlformats.org/officeDocument/2006/relationships/image" Target="../media/image43.emf"/><Relationship Id="rId1" Type="http://schemas.openxmlformats.org/officeDocument/2006/relationships/image" Target="../media/image44.emf"/><Relationship Id="rId6" Type="http://schemas.openxmlformats.org/officeDocument/2006/relationships/image" Target="../media/image48.emf"/><Relationship Id="rId5" Type="http://schemas.openxmlformats.org/officeDocument/2006/relationships/image" Target="../media/image47.emf"/><Relationship Id="rId4" Type="http://schemas.openxmlformats.org/officeDocument/2006/relationships/image" Target="../media/image46.emf"/><Relationship Id="rId9" Type="http://schemas.openxmlformats.org/officeDocument/2006/relationships/image" Target="../media/image40.emf"/></Relationships>
</file>

<file path=xl/drawings/_rels/vmlDrawing5.vml.rels><?xml version="1.0" encoding="UTF-8" standalone="yes"?>
<Relationships xmlns="http://schemas.openxmlformats.org/package/2006/relationships"><Relationship Id="rId3" Type="http://schemas.openxmlformats.org/officeDocument/2006/relationships/image" Target="../media/image51.emf"/><Relationship Id="rId2" Type="http://schemas.openxmlformats.org/officeDocument/2006/relationships/image" Target="../media/image50.emf"/><Relationship Id="rId1" Type="http://schemas.openxmlformats.org/officeDocument/2006/relationships/image" Target="../media/image49.emf"/><Relationship Id="rId6" Type="http://schemas.openxmlformats.org/officeDocument/2006/relationships/image" Target="../media/image54.emf"/><Relationship Id="rId5" Type="http://schemas.openxmlformats.org/officeDocument/2006/relationships/image" Target="../media/image53.emf"/><Relationship Id="rId4" Type="http://schemas.openxmlformats.org/officeDocument/2006/relationships/image" Target="../media/image52.emf"/></Relationships>
</file>

<file path=xl/drawings/_rels/vmlDrawing6.vml.rels><?xml version="1.0" encoding="UTF-8" standalone="yes"?>
<Relationships xmlns="http://schemas.openxmlformats.org/package/2006/relationships"><Relationship Id="rId8" Type="http://schemas.openxmlformats.org/officeDocument/2006/relationships/image" Target="../media/image57.emf"/><Relationship Id="rId13" Type="http://schemas.openxmlformats.org/officeDocument/2006/relationships/image" Target="../media/image67.emf"/><Relationship Id="rId3" Type="http://schemas.openxmlformats.org/officeDocument/2006/relationships/image" Target="../media/image62.emf"/><Relationship Id="rId7" Type="http://schemas.openxmlformats.org/officeDocument/2006/relationships/image" Target="../media/image58.emf"/><Relationship Id="rId12" Type="http://schemas.openxmlformats.org/officeDocument/2006/relationships/image" Target="../media/image66.emf"/><Relationship Id="rId2" Type="http://schemas.openxmlformats.org/officeDocument/2006/relationships/image" Target="../media/image63.emf"/><Relationship Id="rId1" Type="http://schemas.openxmlformats.org/officeDocument/2006/relationships/image" Target="../media/image64.emf"/><Relationship Id="rId6" Type="http://schemas.openxmlformats.org/officeDocument/2006/relationships/image" Target="../media/image59.emf"/><Relationship Id="rId11" Type="http://schemas.openxmlformats.org/officeDocument/2006/relationships/image" Target="../media/image65.emf"/><Relationship Id="rId5" Type="http://schemas.openxmlformats.org/officeDocument/2006/relationships/image" Target="../media/image60.emf"/><Relationship Id="rId10" Type="http://schemas.openxmlformats.org/officeDocument/2006/relationships/image" Target="../media/image55.emf"/><Relationship Id="rId4" Type="http://schemas.openxmlformats.org/officeDocument/2006/relationships/image" Target="../media/image61.emf"/><Relationship Id="rId9" Type="http://schemas.openxmlformats.org/officeDocument/2006/relationships/image" Target="../media/image56.emf"/></Relationships>
</file>

<file path=xl/drawings/_rels/vmlDrawing7.vml.rels><?xml version="1.0" encoding="UTF-8" standalone="yes"?>
<Relationships xmlns="http://schemas.openxmlformats.org/package/2006/relationships"><Relationship Id="rId3" Type="http://schemas.openxmlformats.org/officeDocument/2006/relationships/image" Target="../media/image70.emf"/><Relationship Id="rId2" Type="http://schemas.openxmlformats.org/officeDocument/2006/relationships/image" Target="../media/image71.emf"/><Relationship Id="rId1" Type="http://schemas.openxmlformats.org/officeDocument/2006/relationships/image" Target="../media/image72.emf"/><Relationship Id="rId6" Type="http://schemas.openxmlformats.org/officeDocument/2006/relationships/image" Target="../media/image73.emf"/><Relationship Id="rId5" Type="http://schemas.openxmlformats.org/officeDocument/2006/relationships/image" Target="../media/image68.emf"/><Relationship Id="rId4" Type="http://schemas.openxmlformats.org/officeDocument/2006/relationships/image" Target="../media/image69.emf"/></Relationships>
</file>

<file path=xl/drawings/_rels/vmlDrawing8.vml.rels><?xml version="1.0" encoding="UTF-8" standalone="yes"?>
<Relationships xmlns="http://schemas.openxmlformats.org/package/2006/relationships"><Relationship Id="rId8" Type="http://schemas.openxmlformats.org/officeDocument/2006/relationships/image" Target="../media/image84.emf"/><Relationship Id="rId13" Type="http://schemas.openxmlformats.org/officeDocument/2006/relationships/image" Target="../media/image89.emf"/><Relationship Id="rId18" Type="http://schemas.openxmlformats.org/officeDocument/2006/relationships/image" Target="../media/image94.emf"/><Relationship Id="rId26" Type="http://schemas.openxmlformats.org/officeDocument/2006/relationships/image" Target="../media/image74.emf"/><Relationship Id="rId3" Type="http://schemas.openxmlformats.org/officeDocument/2006/relationships/image" Target="../media/image79.emf"/><Relationship Id="rId21" Type="http://schemas.openxmlformats.org/officeDocument/2006/relationships/image" Target="../media/image97.emf"/><Relationship Id="rId7" Type="http://schemas.openxmlformats.org/officeDocument/2006/relationships/image" Target="../media/image83.emf"/><Relationship Id="rId12" Type="http://schemas.openxmlformats.org/officeDocument/2006/relationships/image" Target="../media/image88.emf"/><Relationship Id="rId17" Type="http://schemas.openxmlformats.org/officeDocument/2006/relationships/image" Target="../media/image93.emf"/><Relationship Id="rId25" Type="http://schemas.openxmlformats.org/officeDocument/2006/relationships/image" Target="../media/image75.emf"/><Relationship Id="rId2" Type="http://schemas.openxmlformats.org/officeDocument/2006/relationships/image" Target="../media/image78.emf"/><Relationship Id="rId16" Type="http://schemas.openxmlformats.org/officeDocument/2006/relationships/image" Target="../media/image92.emf"/><Relationship Id="rId20" Type="http://schemas.openxmlformats.org/officeDocument/2006/relationships/image" Target="../media/image96.emf"/><Relationship Id="rId29" Type="http://schemas.openxmlformats.org/officeDocument/2006/relationships/image" Target="../media/image102.emf"/><Relationship Id="rId1" Type="http://schemas.openxmlformats.org/officeDocument/2006/relationships/image" Target="../media/image77.emf"/><Relationship Id="rId6" Type="http://schemas.openxmlformats.org/officeDocument/2006/relationships/image" Target="../media/image82.emf"/><Relationship Id="rId11" Type="http://schemas.openxmlformats.org/officeDocument/2006/relationships/image" Target="../media/image87.emf"/><Relationship Id="rId24" Type="http://schemas.openxmlformats.org/officeDocument/2006/relationships/image" Target="../media/image76.emf"/><Relationship Id="rId32" Type="http://schemas.openxmlformats.org/officeDocument/2006/relationships/image" Target="../media/image105.emf"/><Relationship Id="rId5" Type="http://schemas.openxmlformats.org/officeDocument/2006/relationships/image" Target="../media/image81.emf"/><Relationship Id="rId15" Type="http://schemas.openxmlformats.org/officeDocument/2006/relationships/image" Target="../media/image91.emf"/><Relationship Id="rId23" Type="http://schemas.openxmlformats.org/officeDocument/2006/relationships/image" Target="../media/image99.emf"/><Relationship Id="rId28" Type="http://schemas.openxmlformats.org/officeDocument/2006/relationships/image" Target="../media/image101.emf"/><Relationship Id="rId10" Type="http://schemas.openxmlformats.org/officeDocument/2006/relationships/image" Target="../media/image86.emf"/><Relationship Id="rId19" Type="http://schemas.openxmlformats.org/officeDocument/2006/relationships/image" Target="../media/image95.emf"/><Relationship Id="rId31" Type="http://schemas.openxmlformats.org/officeDocument/2006/relationships/image" Target="../media/image104.emf"/><Relationship Id="rId4" Type="http://schemas.openxmlformats.org/officeDocument/2006/relationships/image" Target="../media/image80.emf"/><Relationship Id="rId9" Type="http://schemas.openxmlformats.org/officeDocument/2006/relationships/image" Target="../media/image85.emf"/><Relationship Id="rId14" Type="http://schemas.openxmlformats.org/officeDocument/2006/relationships/image" Target="../media/image90.emf"/><Relationship Id="rId22" Type="http://schemas.openxmlformats.org/officeDocument/2006/relationships/image" Target="../media/image98.emf"/><Relationship Id="rId27" Type="http://schemas.openxmlformats.org/officeDocument/2006/relationships/image" Target="../media/image100.emf"/><Relationship Id="rId30" Type="http://schemas.openxmlformats.org/officeDocument/2006/relationships/image" Target="../media/image103.emf"/></Relationships>
</file>

<file path=xl/drawings/_rels/vmlDrawing9.vml.rels><?xml version="1.0" encoding="UTF-8" standalone="yes"?>
<Relationships xmlns="http://schemas.openxmlformats.org/package/2006/relationships"><Relationship Id="rId8" Type="http://schemas.openxmlformats.org/officeDocument/2006/relationships/image" Target="../media/image106.emf"/><Relationship Id="rId3" Type="http://schemas.openxmlformats.org/officeDocument/2006/relationships/image" Target="../media/image111.emf"/><Relationship Id="rId7" Type="http://schemas.openxmlformats.org/officeDocument/2006/relationships/image" Target="../media/image107.emf"/><Relationship Id="rId2" Type="http://schemas.openxmlformats.org/officeDocument/2006/relationships/image" Target="../media/image112.emf"/><Relationship Id="rId1" Type="http://schemas.openxmlformats.org/officeDocument/2006/relationships/image" Target="../media/image113.emf"/><Relationship Id="rId6" Type="http://schemas.openxmlformats.org/officeDocument/2006/relationships/image" Target="../media/image108.emf"/><Relationship Id="rId5" Type="http://schemas.openxmlformats.org/officeDocument/2006/relationships/image" Target="../media/image109.emf"/><Relationship Id="rId4" Type="http://schemas.openxmlformats.org/officeDocument/2006/relationships/image" Target="../media/image110.emf"/><Relationship Id="rId9" Type="http://schemas.openxmlformats.org/officeDocument/2006/relationships/image" Target="../media/image114.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115.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116.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117.emf"/></Relationships>
</file>

<file path=xl/drawings/_rels/vmlDrawing13.vml.rels><?xml version="1.0" encoding="UTF-8" standalone="yes"?>
<Relationships xmlns="http://schemas.openxmlformats.org/package/2006/relationships"><Relationship Id="rId1" Type="http://schemas.openxmlformats.org/officeDocument/2006/relationships/image" Target="../media/image118.emf"/></Relationships>
</file>

<file path=xl/drawings/_rels/vmlDrawing14.vml.rels><?xml version="1.0" encoding="UTF-8" standalone="yes"?>
<Relationships xmlns="http://schemas.openxmlformats.org/package/2006/relationships"><Relationship Id="rId1" Type="http://schemas.openxmlformats.org/officeDocument/2006/relationships/image" Target="../media/image119.emf"/></Relationships>
</file>

<file path=xl/drawings/_rels/vmlDrawing15.vml.rels><?xml version="1.0" encoding="UTF-8" standalone="yes"?>
<Relationships xmlns="http://schemas.openxmlformats.org/package/2006/relationships"><Relationship Id="rId3" Type="http://schemas.openxmlformats.org/officeDocument/2006/relationships/image" Target="../media/image124.emf"/><Relationship Id="rId7" Type="http://schemas.openxmlformats.org/officeDocument/2006/relationships/image" Target="../media/image120.emf"/><Relationship Id="rId2" Type="http://schemas.openxmlformats.org/officeDocument/2006/relationships/image" Target="../media/image125.emf"/><Relationship Id="rId1" Type="http://schemas.openxmlformats.org/officeDocument/2006/relationships/image" Target="../media/image126.emf"/><Relationship Id="rId6" Type="http://schemas.openxmlformats.org/officeDocument/2006/relationships/image" Target="../media/image121.emf"/><Relationship Id="rId5" Type="http://schemas.openxmlformats.org/officeDocument/2006/relationships/image" Target="../media/image122.emf"/><Relationship Id="rId4" Type="http://schemas.openxmlformats.org/officeDocument/2006/relationships/image" Target="../media/image123.emf"/></Relationships>
</file>

<file path=xl/drawings/drawing1.xml><?xml version="1.0" encoding="utf-8"?>
<xdr:wsDr xmlns:xdr="http://schemas.openxmlformats.org/drawingml/2006/spreadsheetDrawing" xmlns:a="http://schemas.openxmlformats.org/drawingml/2006/main">
  <xdr:twoCellAnchor>
    <xdr:from>
      <xdr:col>1</xdr:col>
      <xdr:colOff>500062</xdr:colOff>
      <xdr:row>2</xdr:row>
      <xdr:rowOff>107159</xdr:rowOff>
    </xdr:from>
    <xdr:to>
      <xdr:col>14</xdr:col>
      <xdr:colOff>535783</xdr:colOff>
      <xdr:row>15</xdr:row>
      <xdr:rowOff>416721</xdr:rowOff>
    </xdr:to>
    <xdr:grpSp>
      <xdr:nvGrpSpPr>
        <xdr:cNvPr id="8" name="Group 7" descr="STI prevention and risk calculator" title="teen-SPARC logo"/>
        <xdr:cNvGrpSpPr/>
      </xdr:nvGrpSpPr>
      <xdr:grpSpPr>
        <a:xfrm>
          <a:off x="1128712" y="469109"/>
          <a:ext cx="8208171" cy="3062287"/>
          <a:chOff x="1524000" y="1524003"/>
          <a:chExt cx="7929564" cy="3167062"/>
        </a:xfrm>
      </xdr:grpSpPr>
      <xdr:sp macro="" textlink="">
        <xdr:nvSpPr>
          <xdr:cNvPr id="3" name="Rounded Rectangle 2"/>
          <xdr:cNvSpPr/>
        </xdr:nvSpPr>
        <xdr:spPr>
          <a:xfrm>
            <a:off x="1524000" y="1524003"/>
            <a:ext cx="7929564" cy="3167062"/>
          </a:xfrm>
          <a:prstGeom prst="roundRect">
            <a:avLst/>
          </a:prstGeom>
          <a:solidFill>
            <a:schemeClr val="bg1">
              <a:lumMod val="95000"/>
            </a:schemeClr>
          </a:solidFill>
          <a:ln w="76200">
            <a:solidFill>
              <a:srgbClr val="00458A"/>
            </a:solidFill>
          </a:ln>
        </xdr:spPr>
        <xdr:style>
          <a:lnRef idx="3">
            <a:schemeClr val="lt1"/>
          </a:lnRef>
          <a:fillRef idx="1">
            <a:schemeClr val="dk1"/>
          </a:fillRef>
          <a:effectRef idx="1">
            <a:schemeClr val="dk1"/>
          </a:effectRef>
          <a:fontRef idx="minor">
            <a:schemeClr val="lt1"/>
          </a:fontRef>
        </xdr:style>
        <xdr:txBody>
          <a:bodyPr vertOverflow="clip" horzOverflow="clip" rtlCol="0" anchor="t"/>
          <a:lstStyle/>
          <a:p>
            <a:pPr algn="l"/>
            <a:endParaRPr lang="en-US" sz="1100">
              <a:solidFill>
                <a:srgbClr val="00458A"/>
              </a:solidFill>
            </a:endParaRPr>
          </a:p>
        </xdr:txBody>
      </xdr:sp>
      <xdr:pic>
        <xdr:nvPicPr>
          <xdr:cNvPr id="5" name="Picture 4" title="teen-SPARC logo"/>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119315" y="2190751"/>
            <a:ext cx="6774655" cy="2005298"/>
          </a:xfrm>
          <a:prstGeom prst="rect">
            <a:avLst/>
          </a:prstGeom>
          <a:solidFill>
            <a:schemeClr val="bg1">
              <a:lumMod val="95000"/>
            </a:schemeClr>
          </a:solidFill>
        </xdr:spPr>
      </xdr:pic>
    </xdr:grpSp>
    <xdr:clientData/>
  </xdr:twoCellAnchor>
  <xdr:twoCellAnchor>
    <xdr:from>
      <xdr:col>14</xdr:col>
      <xdr:colOff>592933</xdr:colOff>
      <xdr:row>1</xdr:row>
      <xdr:rowOff>83343</xdr:rowOff>
    </xdr:from>
    <xdr:to>
      <xdr:col>18</xdr:col>
      <xdr:colOff>190501</xdr:colOff>
      <xdr:row>16</xdr:row>
      <xdr:rowOff>11906</xdr:rowOff>
    </xdr:to>
    <xdr:grpSp>
      <xdr:nvGrpSpPr>
        <xdr:cNvPr id="15" name="Group 14" descr="logos for: CSDE: the Center for Studies in Demorgaphy and Ecology at the University of Washington, University of Albany School of Public Health, and Emory Coalition for Applied Modeling" title="developer logos"/>
        <xdr:cNvGrpSpPr/>
      </xdr:nvGrpSpPr>
      <xdr:grpSpPr>
        <a:xfrm>
          <a:off x="9394033" y="264318"/>
          <a:ext cx="2112168" cy="3624263"/>
          <a:chOff x="9394031" y="654843"/>
          <a:chExt cx="1488280" cy="2833992"/>
        </a:xfrm>
      </xdr:grpSpPr>
      <xdr:pic>
        <xdr:nvPicPr>
          <xdr:cNvPr id="4" name="Picture 3" title="U Albany logo"/>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9764102" y="1783682"/>
            <a:ext cx="713398" cy="713398"/>
          </a:xfrm>
          <a:prstGeom prst="rect">
            <a:avLst/>
          </a:prstGeom>
        </xdr:spPr>
      </xdr:pic>
      <xdr:pic>
        <xdr:nvPicPr>
          <xdr:cNvPr id="2" name="Picture 1" title="Emory Coalition for Applied Modeling logo"/>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9594726" y="2571749"/>
            <a:ext cx="1048099" cy="917086"/>
          </a:xfrm>
          <a:prstGeom prst="rect">
            <a:avLst/>
          </a:prstGeom>
        </xdr:spPr>
      </xdr:pic>
      <xdr:grpSp>
        <xdr:nvGrpSpPr>
          <xdr:cNvPr id="14" name="Group 13"/>
          <xdr:cNvGrpSpPr/>
        </xdr:nvGrpSpPr>
        <xdr:grpSpPr>
          <a:xfrm>
            <a:off x="9394031" y="654843"/>
            <a:ext cx="1488280" cy="1071563"/>
            <a:chOff x="9894094" y="357187"/>
            <a:chExt cx="1488280" cy="1071563"/>
          </a:xfrm>
        </xdr:grpSpPr>
        <xdr:pic>
          <xdr:nvPicPr>
            <xdr:cNvPr id="7" name="Picture 6" descr="Center for demogrphy and ecology, university of washington" title="CSDE logo"/>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0310807" y="357187"/>
              <a:ext cx="547700" cy="547700"/>
            </a:xfrm>
            <a:prstGeom prst="rect">
              <a:avLst/>
            </a:prstGeom>
          </xdr:spPr>
        </xdr:pic>
        <xdr:sp macro="" textlink="">
          <xdr:nvSpPr>
            <xdr:cNvPr id="12" name="TextBox 11"/>
            <xdr:cNvSpPr txBox="1"/>
          </xdr:nvSpPr>
          <xdr:spPr>
            <a:xfrm>
              <a:off x="9894094" y="833437"/>
              <a:ext cx="1488280" cy="59531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900" b="0">
                  <a:latin typeface="Symbola" panose="02020503060805020204" pitchFamily="18" charset="0"/>
                  <a:ea typeface="Symbola" panose="02020503060805020204" pitchFamily="18" charset="0"/>
                  <a:cs typeface="Symbola" panose="02020503060805020204" pitchFamily="18" charset="0"/>
                </a:rPr>
                <a:t>Center for Studies</a:t>
              </a:r>
              <a:r>
                <a:rPr lang="en-US" sz="900" b="0" baseline="0">
                  <a:latin typeface="Symbola" panose="02020503060805020204" pitchFamily="18" charset="0"/>
                  <a:ea typeface="Symbola" panose="02020503060805020204" pitchFamily="18" charset="0"/>
                  <a:cs typeface="Symbola" panose="02020503060805020204" pitchFamily="18" charset="0"/>
                </a:rPr>
                <a:t> in </a:t>
              </a:r>
            </a:p>
            <a:p>
              <a:pPr algn="ctr"/>
              <a:r>
                <a:rPr lang="en-US" sz="900" b="0" baseline="0">
                  <a:latin typeface="Symbola" panose="02020503060805020204" pitchFamily="18" charset="0"/>
                  <a:ea typeface="Symbola" panose="02020503060805020204" pitchFamily="18" charset="0"/>
                  <a:cs typeface="Symbola" panose="02020503060805020204" pitchFamily="18" charset="0"/>
                </a:rPr>
                <a:t>Demography &amp; Ecology</a:t>
              </a:r>
            </a:p>
            <a:p>
              <a:pPr algn="ctr"/>
              <a:r>
                <a:rPr lang="en-US" sz="900" b="0" baseline="0">
                  <a:latin typeface="Symbola" panose="02020503060805020204" pitchFamily="18" charset="0"/>
                  <a:ea typeface="Symbola" panose="02020503060805020204" pitchFamily="18" charset="0"/>
                  <a:cs typeface="Symbola" panose="02020503060805020204" pitchFamily="18" charset="0"/>
                </a:rPr>
                <a:t>---------------------------</a:t>
              </a:r>
            </a:p>
            <a:p>
              <a:pPr algn="ctr"/>
              <a:r>
                <a:rPr lang="en-US" sz="900" b="0" baseline="0">
                  <a:latin typeface="Symbola" panose="02020503060805020204" pitchFamily="18" charset="0"/>
                  <a:ea typeface="Symbola" panose="02020503060805020204" pitchFamily="18" charset="0"/>
                  <a:cs typeface="Symbola" panose="02020503060805020204" pitchFamily="18" charset="0"/>
                </a:rPr>
                <a:t>University of Washington</a:t>
              </a:r>
              <a:endParaRPr lang="en-US" sz="900" b="0">
                <a:latin typeface="Symbola" panose="02020503060805020204" pitchFamily="18" charset="0"/>
                <a:ea typeface="Symbola" panose="02020503060805020204" pitchFamily="18" charset="0"/>
                <a:cs typeface="Symbola" panose="02020503060805020204" pitchFamily="18" charset="0"/>
              </a:endParaRPr>
            </a:p>
          </xdr:txBody>
        </xdr:sp>
      </xdr:grpSp>
    </xdr:grpSp>
    <xdr:clientData/>
  </xdr:twoCellAnchor>
  <xdr:twoCellAnchor>
    <xdr:from>
      <xdr:col>2</xdr:col>
      <xdr:colOff>590550</xdr:colOff>
      <xdr:row>22</xdr:row>
      <xdr:rowOff>9525</xdr:rowOff>
    </xdr:from>
    <xdr:to>
      <xdr:col>15</xdr:col>
      <xdr:colOff>133349</xdr:colOff>
      <xdr:row>27</xdr:row>
      <xdr:rowOff>71438</xdr:rowOff>
    </xdr:to>
    <xdr:sp macro="RightArrow7_Click" textlink="">
      <xdr:nvSpPr>
        <xdr:cNvPr id="13" name="Right Arrow 12" descr="Click to advance to next page " title="Get Started Button"/>
        <xdr:cNvSpPr/>
      </xdr:nvSpPr>
      <xdr:spPr>
        <a:xfrm>
          <a:off x="1847850" y="5057775"/>
          <a:ext cx="7715249" cy="966788"/>
        </a:xfrm>
        <a:prstGeom prst="rightArrow">
          <a:avLst/>
        </a:prstGeom>
        <a:solidFill>
          <a:srgbClr val="004182"/>
        </a:solidFill>
        <a:ln>
          <a:solidFill>
            <a:srgbClr val="00306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2800">
              <a:solidFill>
                <a:schemeClr val="bg1">
                  <a:lumMod val="95000"/>
                </a:schemeClr>
              </a:solidFill>
              <a:latin typeface="Arial" panose="020B0604020202020204" pitchFamily="34" charset="0"/>
              <a:cs typeface="Arial" panose="020B0604020202020204" pitchFamily="34" charset="0"/>
            </a:rPr>
            <a:t>Click To</a:t>
          </a:r>
          <a:r>
            <a:rPr lang="en-US" sz="2800" baseline="0">
              <a:solidFill>
                <a:schemeClr val="bg1">
                  <a:lumMod val="95000"/>
                </a:schemeClr>
              </a:solidFill>
              <a:latin typeface="Arial" panose="020B0604020202020204" pitchFamily="34" charset="0"/>
              <a:cs typeface="Arial" panose="020B0604020202020204" pitchFamily="34" charset="0"/>
            </a:rPr>
            <a:t> </a:t>
          </a:r>
          <a:r>
            <a:rPr lang="en-US" sz="2800">
              <a:solidFill>
                <a:schemeClr val="bg1">
                  <a:lumMod val="95000"/>
                </a:schemeClr>
              </a:solidFill>
              <a:latin typeface="Arial" panose="020B0604020202020204" pitchFamily="34" charset="0"/>
              <a:cs typeface="Arial" panose="020B0604020202020204" pitchFamily="34" charset="0"/>
            </a:rPr>
            <a:t>Get Started</a:t>
          </a:r>
        </a:p>
        <a:p>
          <a:pPr algn="l"/>
          <a:endParaRPr lang="en-US" sz="11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127000</xdr:colOff>
      <xdr:row>0</xdr:row>
      <xdr:rowOff>127000</xdr:rowOff>
    </xdr:from>
    <xdr:to>
      <xdr:col>14</xdr:col>
      <xdr:colOff>265906</xdr:colOff>
      <xdr:row>39</xdr:row>
      <xdr:rowOff>154780</xdr:rowOff>
    </xdr:to>
    <xdr:sp macro="" textlink="">
      <xdr:nvSpPr>
        <xdr:cNvPr id="2" name="Half Frame 1" title="decorative frame"/>
        <xdr:cNvSpPr/>
      </xdr:nvSpPr>
      <xdr:spPr>
        <a:xfrm>
          <a:off x="127000" y="127000"/>
          <a:ext cx="15823406" cy="16442530"/>
        </a:xfrm>
        <a:prstGeom prst="halfFrame">
          <a:avLst>
            <a:gd name="adj1" fmla="val 1282"/>
            <a:gd name="adj2" fmla="val 1393"/>
          </a:avLst>
        </a:prstGeom>
        <a:solidFill>
          <a:srgbClr val="004182"/>
        </a:solidFill>
        <a:ln>
          <a:solidFill>
            <a:srgbClr val="004182"/>
          </a:solidFill>
        </a:ln>
        <a:scene3d>
          <a:camera prst="orthographicFront"/>
          <a:lightRig rig="threePt" dir="t"/>
        </a:scene3d>
        <a:sp3d>
          <a:bevelT w="25400" h="254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5</xdr:col>
      <xdr:colOff>214312</xdr:colOff>
      <xdr:row>9</xdr:row>
      <xdr:rowOff>654844</xdr:rowOff>
    </xdr:from>
    <xdr:to>
      <xdr:col>9</xdr:col>
      <xdr:colOff>83344</xdr:colOff>
      <xdr:row>10</xdr:row>
      <xdr:rowOff>595311</xdr:rowOff>
    </xdr:to>
    <xdr:sp macro="RightArrow8_Click" textlink="">
      <xdr:nvSpPr>
        <xdr:cNvPr id="4" name="Right Arrow 3" descr="Button, click to advance to next page (table of contents)&#10;" title="Next Button"/>
        <xdr:cNvSpPr/>
      </xdr:nvSpPr>
      <xdr:spPr>
        <a:xfrm>
          <a:off x="10560843" y="3369469"/>
          <a:ext cx="2297907" cy="869155"/>
        </a:xfrm>
        <a:prstGeom prst="rightArrow">
          <a:avLst/>
        </a:prstGeom>
        <a:solidFill>
          <a:srgbClr val="004182"/>
        </a:solidFill>
        <a:ln>
          <a:solidFill>
            <a:srgbClr val="00306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2400">
              <a:solidFill>
                <a:schemeClr val="bg1">
                  <a:lumMod val="95000"/>
                </a:schemeClr>
              </a:solidFill>
              <a:latin typeface="Arial" panose="020B0604020202020204" pitchFamily="34" charset="0"/>
              <a:cs typeface="Arial" panose="020B0604020202020204" pitchFamily="34" charset="0"/>
            </a:rPr>
            <a:t>Next</a:t>
          </a:r>
        </a:p>
        <a:p>
          <a:pPr algn="l"/>
          <a:endParaRPr lang="en-US" sz="1100"/>
        </a:p>
      </xdr:txBody>
    </xdr:sp>
    <xdr:clientData/>
  </xdr:twoCellAnchor>
  <xdr:twoCellAnchor>
    <xdr:from>
      <xdr:col>5</xdr:col>
      <xdr:colOff>202405</xdr:colOff>
      <xdr:row>9</xdr:row>
      <xdr:rowOff>23809</xdr:rowOff>
    </xdr:from>
    <xdr:to>
      <xdr:col>8</xdr:col>
      <xdr:colOff>190499</xdr:colOff>
      <xdr:row>9</xdr:row>
      <xdr:rowOff>559591</xdr:rowOff>
    </xdr:to>
    <xdr:sp macro="" textlink="">
      <xdr:nvSpPr>
        <xdr:cNvPr id="3" name="Rectangle 2">
          <a:hlinkClick xmlns:r="http://schemas.openxmlformats.org/officeDocument/2006/relationships" r:id="rId1"/>
        </xdr:cNvPr>
        <xdr:cNvSpPr/>
      </xdr:nvSpPr>
      <xdr:spPr>
        <a:xfrm>
          <a:off x="10548936" y="2738434"/>
          <a:ext cx="1809751" cy="535782"/>
        </a:xfrm>
        <a:prstGeom prst="rect">
          <a:avLst/>
        </a:prstGeom>
        <a:solidFill>
          <a:srgbClr val="3E5CA0"/>
        </a:solidFill>
        <a:ln>
          <a:solidFill>
            <a:srgbClr val="0041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400">
              <a:latin typeface="Arial" panose="020B0604020202020204" pitchFamily="34" charset="0"/>
              <a:cs typeface="Arial" panose="020B0604020202020204" pitchFamily="34" charset="0"/>
            </a:rPr>
            <a:t>Click to access the full manual</a:t>
          </a:r>
        </a:p>
      </xdr:txBody>
    </xdr:sp>
    <xdr:clientData/>
  </xdr:twoCellAnchor>
  <xdr:twoCellAnchor>
    <xdr:from>
      <xdr:col>5</xdr:col>
      <xdr:colOff>200023</xdr:colOff>
      <xdr:row>7</xdr:row>
      <xdr:rowOff>476248</xdr:rowOff>
    </xdr:from>
    <xdr:to>
      <xdr:col>8</xdr:col>
      <xdr:colOff>190499</xdr:colOff>
      <xdr:row>8</xdr:row>
      <xdr:rowOff>390523</xdr:rowOff>
    </xdr:to>
    <xdr:sp macro="" textlink="">
      <xdr:nvSpPr>
        <xdr:cNvPr id="5" name="Rectangle 4">
          <a:hlinkClick xmlns:r="http://schemas.openxmlformats.org/officeDocument/2006/relationships" r:id="rId2"/>
        </xdr:cNvPr>
        <xdr:cNvSpPr/>
      </xdr:nvSpPr>
      <xdr:spPr>
        <a:xfrm>
          <a:off x="10546554" y="2071686"/>
          <a:ext cx="1812133" cy="533400"/>
        </a:xfrm>
        <a:prstGeom prst="rect">
          <a:avLst/>
        </a:prstGeom>
        <a:solidFill>
          <a:srgbClr val="3E5CA0"/>
        </a:solidFill>
        <a:ln>
          <a:solidFill>
            <a:srgbClr val="0041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400">
              <a:latin typeface="Arial" panose="020B0604020202020204" pitchFamily="34" charset="0"/>
              <a:cs typeface="Arial" panose="020B0604020202020204" pitchFamily="34" charset="0"/>
            </a:rPr>
            <a:t>Click to access the quick start guide</a:t>
          </a:r>
        </a:p>
        <a:p>
          <a:pPr algn="l"/>
          <a:endParaRPr lang="en-US" sz="1400">
            <a:latin typeface="Arial" panose="020B0604020202020204" pitchFamily="34" charset="0"/>
            <a:cs typeface="Arial" panose="020B0604020202020204" pitchFamily="34" charset="0"/>
          </a:endParaRPr>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365760</xdr:colOff>
          <xdr:row>8</xdr:row>
          <xdr:rowOff>106680</xdr:rowOff>
        </xdr:from>
        <xdr:to>
          <xdr:col>9</xdr:col>
          <xdr:colOff>137160</xdr:colOff>
          <xdr:row>10</xdr:row>
          <xdr:rowOff>7620</xdr:rowOff>
        </xdr:to>
        <xdr:sp macro="" textlink="">
          <xdr:nvSpPr>
            <xdr:cNvPr id="16385" name="CommandButton1" descr="Button, click to go to population sized page " hidden="1">
              <a:extLst>
                <a:ext uri="{63B3BB69-23CF-44E3-9099-C40C66FF867C}">
                  <a14:compatExt spid="_x0000_s1638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365760</xdr:colOff>
          <xdr:row>10</xdr:row>
          <xdr:rowOff>137160</xdr:rowOff>
        </xdr:from>
        <xdr:to>
          <xdr:col>9</xdr:col>
          <xdr:colOff>137160</xdr:colOff>
          <xdr:row>11</xdr:row>
          <xdr:rowOff>198120</xdr:rowOff>
        </xdr:to>
        <xdr:sp macro="" textlink="">
          <xdr:nvSpPr>
            <xdr:cNvPr id="16386" name="CommandButton2" descr="Button, click to go to sexual behavior page " hidden="1">
              <a:extLst>
                <a:ext uri="{63B3BB69-23CF-44E3-9099-C40C66FF867C}">
                  <a14:compatExt spid="_x0000_s1638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365760</xdr:colOff>
          <xdr:row>12</xdr:row>
          <xdr:rowOff>137160</xdr:rowOff>
        </xdr:from>
        <xdr:to>
          <xdr:col>9</xdr:col>
          <xdr:colOff>137160</xdr:colOff>
          <xdr:row>13</xdr:row>
          <xdr:rowOff>198120</xdr:rowOff>
        </xdr:to>
        <xdr:sp macro="" textlink="">
          <xdr:nvSpPr>
            <xdr:cNvPr id="16387" name="CommandButton3" descr="Button, click to go to diagnoses page &#10;" hidden="1">
              <a:extLst>
                <a:ext uri="{63B3BB69-23CF-44E3-9099-C40C66FF867C}">
                  <a14:compatExt spid="_x0000_s1638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365760</xdr:colOff>
          <xdr:row>14</xdr:row>
          <xdr:rowOff>106680</xdr:rowOff>
        </xdr:from>
        <xdr:to>
          <xdr:col>9</xdr:col>
          <xdr:colOff>137160</xdr:colOff>
          <xdr:row>16</xdr:row>
          <xdr:rowOff>7620</xdr:rowOff>
        </xdr:to>
        <xdr:sp macro="" textlink="">
          <xdr:nvSpPr>
            <xdr:cNvPr id="16388" name="CommandButton4" descr="Button, click to go to interventions page&#10;" hidden="1">
              <a:extLst>
                <a:ext uri="{63B3BB69-23CF-44E3-9099-C40C66FF867C}">
                  <a14:compatExt spid="_x0000_s1638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365760</xdr:colOff>
          <xdr:row>16</xdr:row>
          <xdr:rowOff>137160</xdr:rowOff>
        </xdr:from>
        <xdr:to>
          <xdr:col>9</xdr:col>
          <xdr:colOff>137160</xdr:colOff>
          <xdr:row>17</xdr:row>
          <xdr:rowOff>198120</xdr:rowOff>
        </xdr:to>
        <xdr:sp macro="" textlink="">
          <xdr:nvSpPr>
            <xdr:cNvPr id="16389" name="CommandButton5" descr="Button, click to go to results page &#10;" hidden="1">
              <a:extLst>
                <a:ext uri="{63B3BB69-23CF-44E3-9099-C40C66FF867C}">
                  <a14:compatExt spid="_x0000_s1638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365760</xdr:colOff>
          <xdr:row>30</xdr:row>
          <xdr:rowOff>152400</xdr:rowOff>
        </xdr:from>
        <xdr:to>
          <xdr:col>9</xdr:col>
          <xdr:colOff>137160</xdr:colOff>
          <xdr:row>31</xdr:row>
          <xdr:rowOff>236220</xdr:rowOff>
        </xdr:to>
        <xdr:sp macro="" textlink="">
          <xdr:nvSpPr>
            <xdr:cNvPr id="16390" name="CommandButton6" descr="Button, click to go to full parameter spreadsheet for the baseline model" hidden="1">
              <a:extLst>
                <a:ext uri="{63B3BB69-23CF-44E3-9099-C40C66FF867C}">
                  <a14:compatExt spid="_x0000_s1639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365760</xdr:colOff>
          <xdr:row>21</xdr:row>
          <xdr:rowOff>190500</xdr:rowOff>
        </xdr:from>
        <xdr:to>
          <xdr:col>9</xdr:col>
          <xdr:colOff>121920</xdr:colOff>
          <xdr:row>22</xdr:row>
          <xdr:rowOff>243840</xdr:rowOff>
        </xdr:to>
        <xdr:sp macro="" textlink="">
          <xdr:nvSpPr>
            <xdr:cNvPr id="16391" name="CommandButton7" descr="Button, click to go to alternative population size calculator of advanced options page" hidden="1">
              <a:extLst>
                <a:ext uri="{63B3BB69-23CF-44E3-9099-C40C66FF867C}">
                  <a14:compatExt spid="_x0000_s1639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365760</xdr:colOff>
          <xdr:row>23</xdr:row>
          <xdr:rowOff>114300</xdr:rowOff>
        </xdr:from>
        <xdr:to>
          <xdr:col>9</xdr:col>
          <xdr:colOff>121920</xdr:colOff>
          <xdr:row>25</xdr:row>
          <xdr:rowOff>15240</xdr:rowOff>
        </xdr:to>
        <xdr:sp macro="" textlink="">
          <xdr:nvSpPr>
            <xdr:cNvPr id="16392" name="CommandButton8" descr="Button, click to go to new partner per year calculator of advanced options page" hidden="1">
              <a:extLst>
                <a:ext uri="{63B3BB69-23CF-44E3-9099-C40C66FF867C}">
                  <a14:compatExt spid="_x0000_s1639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365760</xdr:colOff>
          <xdr:row>27</xdr:row>
          <xdr:rowOff>114300</xdr:rowOff>
        </xdr:from>
        <xdr:to>
          <xdr:col>9</xdr:col>
          <xdr:colOff>121920</xdr:colOff>
          <xdr:row>29</xdr:row>
          <xdr:rowOff>15240</xdr:rowOff>
        </xdr:to>
        <xdr:sp macro="" textlink="">
          <xdr:nvSpPr>
            <xdr:cNvPr id="16393" name="CommandButton9" descr="Button, click to go to infection prevalence section of advanced options page" hidden="1">
              <a:extLst>
                <a:ext uri="{63B3BB69-23CF-44E3-9099-C40C66FF867C}">
                  <a14:compatExt spid="_x0000_s163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365760</xdr:colOff>
          <xdr:row>32</xdr:row>
          <xdr:rowOff>114300</xdr:rowOff>
        </xdr:from>
        <xdr:to>
          <xdr:col>9</xdr:col>
          <xdr:colOff>137160</xdr:colOff>
          <xdr:row>33</xdr:row>
          <xdr:rowOff>198120</xdr:rowOff>
        </xdr:to>
        <xdr:sp macro="" textlink="">
          <xdr:nvSpPr>
            <xdr:cNvPr id="16394" name="CommandButton10" descr="Button, click to go to full parameter spreadsheet for comparison model 1" hidden="1">
              <a:extLst>
                <a:ext uri="{63B3BB69-23CF-44E3-9099-C40C66FF867C}">
                  <a14:compatExt spid="_x0000_s1639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365760</xdr:colOff>
          <xdr:row>34</xdr:row>
          <xdr:rowOff>114300</xdr:rowOff>
        </xdr:from>
        <xdr:to>
          <xdr:col>9</xdr:col>
          <xdr:colOff>137160</xdr:colOff>
          <xdr:row>35</xdr:row>
          <xdr:rowOff>198120</xdr:rowOff>
        </xdr:to>
        <xdr:sp macro="" textlink="">
          <xdr:nvSpPr>
            <xdr:cNvPr id="16395" name="CommandButton11" descr="Button, click to go to full parameter spreadsheet for comparison model 2" hidden="1">
              <a:extLst>
                <a:ext uri="{63B3BB69-23CF-44E3-9099-C40C66FF867C}">
                  <a14:compatExt spid="_x0000_s1639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365760</xdr:colOff>
          <xdr:row>36</xdr:row>
          <xdr:rowOff>106680</xdr:rowOff>
        </xdr:from>
        <xdr:to>
          <xdr:col>9</xdr:col>
          <xdr:colOff>137160</xdr:colOff>
          <xdr:row>37</xdr:row>
          <xdr:rowOff>190500</xdr:rowOff>
        </xdr:to>
        <xdr:sp macro="" textlink="">
          <xdr:nvSpPr>
            <xdr:cNvPr id="16396" name="CommandButton12" descr="Button, click to go to full parameter spreadsheet for comparison model 3" hidden="1">
              <a:extLst>
                <a:ext uri="{63B3BB69-23CF-44E3-9099-C40C66FF867C}">
                  <a14:compatExt spid="_x0000_s1639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365760</xdr:colOff>
          <xdr:row>38</xdr:row>
          <xdr:rowOff>114300</xdr:rowOff>
        </xdr:from>
        <xdr:to>
          <xdr:col>9</xdr:col>
          <xdr:colOff>137160</xdr:colOff>
          <xdr:row>39</xdr:row>
          <xdr:rowOff>198120</xdr:rowOff>
        </xdr:to>
        <xdr:sp macro="" textlink="">
          <xdr:nvSpPr>
            <xdr:cNvPr id="16397" name="CommandButton13" descr="Button, click to go to full parameter spreadsheet for comparison model 4" hidden="1">
              <a:extLst>
                <a:ext uri="{63B3BB69-23CF-44E3-9099-C40C66FF867C}">
                  <a14:compatExt spid="_x0000_s1639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365760</xdr:colOff>
          <xdr:row>25</xdr:row>
          <xdr:rowOff>106680</xdr:rowOff>
        </xdr:from>
        <xdr:to>
          <xdr:col>9</xdr:col>
          <xdr:colOff>121920</xdr:colOff>
          <xdr:row>27</xdr:row>
          <xdr:rowOff>7620</xdr:rowOff>
        </xdr:to>
        <xdr:sp macro="" textlink="">
          <xdr:nvSpPr>
            <xdr:cNvPr id="16398" name="CommandButton14" descr="Button, click to go to transmissibility section of advanced options page" hidden="1">
              <a:extLst>
                <a:ext uri="{63B3BB69-23CF-44E3-9099-C40C66FF867C}">
                  <a14:compatExt spid="_x0000_s163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365760</xdr:colOff>
          <xdr:row>18</xdr:row>
          <xdr:rowOff>144780</xdr:rowOff>
        </xdr:from>
        <xdr:to>
          <xdr:col>9</xdr:col>
          <xdr:colOff>121920</xdr:colOff>
          <xdr:row>19</xdr:row>
          <xdr:rowOff>198120</xdr:rowOff>
        </xdr:to>
        <xdr:sp macro="" textlink="">
          <xdr:nvSpPr>
            <xdr:cNvPr id="16399" name="CommandButton15" descr="button, click to go to export model results page" hidden="1">
              <a:extLst>
                <a:ext uri="{63B3BB69-23CF-44E3-9099-C40C66FF867C}">
                  <a14:compatExt spid="_x0000_s1639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142872</xdr:colOff>
      <xdr:row>0</xdr:row>
      <xdr:rowOff>130966</xdr:rowOff>
    </xdr:from>
    <xdr:to>
      <xdr:col>26</xdr:col>
      <xdr:colOff>178590</xdr:colOff>
      <xdr:row>83</xdr:row>
      <xdr:rowOff>95246</xdr:rowOff>
    </xdr:to>
    <xdr:sp macro="" textlink="">
      <xdr:nvSpPr>
        <xdr:cNvPr id="19" name="Half Frame 18" title="decorative frame"/>
        <xdr:cNvSpPr/>
      </xdr:nvSpPr>
      <xdr:spPr>
        <a:xfrm>
          <a:off x="142872" y="130966"/>
          <a:ext cx="15823406" cy="16323468"/>
        </a:xfrm>
        <a:prstGeom prst="halfFrame">
          <a:avLst>
            <a:gd name="adj1" fmla="val 1282"/>
            <a:gd name="adj2" fmla="val 1393"/>
          </a:avLst>
        </a:prstGeom>
        <a:solidFill>
          <a:srgbClr val="004182"/>
        </a:solidFill>
        <a:ln>
          <a:solidFill>
            <a:srgbClr val="004182"/>
          </a:solidFill>
        </a:ln>
        <a:scene3d>
          <a:camera prst="orthographicFront"/>
          <a:lightRig rig="threePt" dir="t"/>
        </a:scene3d>
        <a:sp3d>
          <a:bevelT w="25400" h="254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137160</xdr:colOff>
          <xdr:row>70</xdr:row>
          <xdr:rowOff>45720</xdr:rowOff>
        </xdr:from>
        <xdr:to>
          <xdr:col>11</xdr:col>
          <xdr:colOff>403860</xdr:colOff>
          <xdr:row>74</xdr:row>
          <xdr:rowOff>76200</xdr:rowOff>
        </xdr:to>
        <xdr:sp macro="" textlink="">
          <xdr:nvSpPr>
            <xdr:cNvPr id="4104" name="CommandButton6" descr="Proceed to Next Step" hidden="1">
              <a:extLst>
                <a:ext uri="{63B3BB69-23CF-44E3-9099-C40C66FF867C}">
                  <a14:compatExt spid="_x0000_s410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198120</xdr:colOff>
          <xdr:row>70</xdr:row>
          <xdr:rowOff>45720</xdr:rowOff>
        </xdr:from>
        <xdr:to>
          <xdr:col>6</xdr:col>
          <xdr:colOff>746760</xdr:colOff>
          <xdr:row>74</xdr:row>
          <xdr:rowOff>76200</xdr:rowOff>
        </xdr:to>
        <xdr:sp macro="" textlink="">
          <xdr:nvSpPr>
            <xdr:cNvPr id="4110" name="CommandButton1" descr="Use Alternative Population Size Calculator " hidden="1">
              <a:extLst>
                <a:ext uri="{63B3BB69-23CF-44E3-9099-C40C66FF867C}">
                  <a14:compatExt spid="_x0000_s411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502920</xdr:colOff>
          <xdr:row>2</xdr:row>
          <xdr:rowOff>0</xdr:rowOff>
        </xdr:from>
        <xdr:to>
          <xdr:col>17</xdr:col>
          <xdr:colOff>205740</xdr:colOff>
          <xdr:row>3</xdr:row>
          <xdr:rowOff>182880</xdr:rowOff>
        </xdr:to>
        <xdr:sp macro="" textlink="">
          <xdr:nvSpPr>
            <xdr:cNvPr id="4111" name="CommandButton2" descr="Back to Table of Contents" hidden="1">
              <a:extLst>
                <a:ext uri="{63B3BB69-23CF-44E3-9099-C40C66FF867C}">
                  <a14:compatExt spid="_x0000_s411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228600</xdr:colOff>
      <xdr:row>0</xdr:row>
      <xdr:rowOff>80963</xdr:rowOff>
    </xdr:from>
    <xdr:to>
      <xdr:col>22</xdr:col>
      <xdr:colOff>550068</xdr:colOff>
      <xdr:row>81</xdr:row>
      <xdr:rowOff>57150</xdr:rowOff>
    </xdr:to>
    <xdr:sp macro="" textlink="">
      <xdr:nvSpPr>
        <xdr:cNvPr id="9" name="Half Frame 8" title="decorative frame"/>
        <xdr:cNvSpPr/>
      </xdr:nvSpPr>
      <xdr:spPr>
        <a:xfrm>
          <a:off x="228600" y="80963"/>
          <a:ext cx="16533018" cy="15025687"/>
        </a:xfrm>
        <a:prstGeom prst="halfFrame">
          <a:avLst>
            <a:gd name="adj1" fmla="val 1282"/>
            <a:gd name="adj2" fmla="val 1393"/>
          </a:avLst>
        </a:prstGeom>
        <a:solidFill>
          <a:srgbClr val="004182"/>
        </a:solidFill>
        <a:ln>
          <a:noFill/>
        </a:ln>
        <a:scene3d>
          <a:camera prst="orthographicFront"/>
          <a:lightRig rig="threePt" dir="t"/>
        </a:scene3d>
        <a:sp3d>
          <a:bevelT w="25400" h="254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mc:AlternateContent xmlns:mc="http://schemas.openxmlformats.org/markup-compatibility/2006">
    <mc:Choice xmlns:a14="http://schemas.microsoft.com/office/drawing/2010/main" Requires="a14">
      <xdr:twoCellAnchor editAs="oneCell">
        <xdr:from>
          <xdr:col>8</xdr:col>
          <xdr:colOff>289560</xdr:colOff>
          <xdr:row>29</xdr:row>
          <xdr:rowOff>60960</xdr:rowOff>
        </xdr:from>
        <xdr:to>
          <xdr:col>10</xdr:col>
          <xdr:colOff>472440</xdr:colOff>
          <xdr:row>33</xdr:row>
          <xdr:rowOff>45720</xdr:rowOff>
        </xdr:to>
        <xdr:sp macro="" textlink="">
          <xdr:nvSpPr>
            <xdr:cNvPr id="4112" name="CommandButton4" descr="Button, click to set table to the default values for the weighted proportion of males and females by age group in your YRBS dataset" hidden="1">
              <a:extLst>
                <a:ext uri="{63B3BB69-23CF-44E3-9099-C40C66FF867C}">
                  <a14:compatExt spid="_x0000_s411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7620</xdr:colOff>
          <xdr:row>29</xdr:row>
          <xdr:rowOff>60960</xdr:rowOff>
        </xdr:from>
        <xdr:to>
          <xdr:col>13</xdr:col>
          <xdr:colOff>533400</xdr:colOff>
          <xdr:row>33</xdr:row>
          <xdr:rowOff>45720</xdr:rowOff>
        </xdr:to>
        <xdr:sp macro="" textlink="">
          <xdr:nvSpPr>
            <xdr:cNvPr id="4113" name="CommandButton3" descr="Button, click to reset the values for the weighted proportion of males and females by age group in your YRBS dataset" hidden="1">
              <a:extLst>
                <a:ext uri="{63B3BB69-23CF-44E3-9099-C40C66FF867C}">
                  <a14:compatExt spid="_x0000_s411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365760</xdr:colOff>
          <xdr:row>38</xdr:row>
          <xdr:rowOff>152400</xdr:rowOff>
        </xdr:from>
        <xdr:to>
          <xdr:col>10</xdr:col>
          <xdr:colOff>548640</xdr:colOff>
          <xdr:row>42</xdr:row>
          <xdr:rowOff>137160</xdr:rowOff>
        </xdr:to>
        <xdr:sp macro="" textlink="">
          <xdr:nvSpPr>
            <xdr:cNvPr id="4114" name="CommandButton5" descr="Button, click to set table to the default values for the proportion of adolescents who have sexually debuted into the three sexual partnering groups in your YRBS dataset" hidden="1">
              <a:extLst>
                <a:ext uri="{63B3BB69-23CF-44E3-9099-C40C66FF867C}">
                  <a14:compatExt spid="_x0000_s411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76200</xdr:colOff>
          <xdr:row>38</xdr:row>
          <xdr:rowOff>152400</xdr:rowOff>
        </xdr:from>
        <xdr:to>
          <xdr:col>13</xdr:col>
          <xdr:colOff>556260</xdr:colOff>
          <xdr:row>42</xdr:row>
          <xdr:rowOff>137160</xdr:rowOff>
        </xdr:to>
        <xdr:sp macro="" textlink="">
          <xdr:nvSpPr>
            <xdr:cNvPr id="4115" name="CommandButton7" descr="Button, click to reset the values for the proportion of adolescents who have sexually debuted into the three sexual partnering groups in your YRBS dataset" hidden="1">
              <a:extLst>
                <a:ext uri="{63B3BB69-23CF-44E3-9099-C40C66FF867C}">
                  <a14:compatExt spid="_x0000_s411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495300</xdr:colOff>
          <xdr:row>22</xdr:row>
          <xdr:rowOff>99060</xdr:rowOff>
        </xdr:from>
        <xdr:to>
          <xdr:col>6</xdr:col>
          <xdr:colOff>754380</xdr:colOff>
          <xdr:row>24</xdr:row>
          <xdr:rowOff>160020</xdr:rowOff>
        </xdr:to>
        <xdr:sp macro="" textlink="">
          <xdr:nvSpPr>
            <xdr:cNvPr id="4116" name="CommandButton8" descr="Button, Set to Default Value for the total number of high-school attending adolescents&#10;" hidden="1">
              <a:extLst>
                <a:ext uri="{63B3BB69-23CF-44E3-9099-C40C66FF867C}">
                  <a14:compatExt spid="_x0000_s411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883920</xdr:colOff>
          <xdr:row>22</xdr:row>
          <xdr:rowOff>99060</xdr:rowOff>
        </xdr:from>
        <xdr:to>
          <xdr:col>8</xdr:col>
          <xdr:colOff>160020</xdr:colOff>
          <xdr:row>24</xdr:row>
          <xdr:rowOff>160020</xdr:rowOff>
        </xdr:to>
        <xdr:sp macro="" textlink="">
          <xdr:nvSpPr>
            <xdr:cNvPr id="4117" name="CommandButton9" descr="Reset Values&#10;" hidden="1">
              <a:extLst>
                <a:ext uri="{63B3BB69-23CF-44E3-9099-C40C66FF867C}">
                  <a14:compatExt spid="_x0000_s411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365760</xdr:colOff>
          <xdr:row>2</xdr:row>
          <xdr:rowOff>0</xdr:rowOff>
        </xdr:from>
        <xdr:to>
          <xdr:col>21</xdr:col>
          <xdr:colOff>541020</xdr:colOff>
          <xdr:row>3</xdr:row>
          <xdr:rowOff>160020</xdr:rowOff>
        </xdr:to>
        <xdr:sp macro="" textlink="">
          <xdr:nvSpPr>
            <xdr:cNvPr id="4118" name="CommandButton10" descr="Use Alternative Population Size Calculator" hidden="1">
              <a:extLst>
                <a:ext uri="{63B3BB69-23CF-44E3-9099-C40C66FF867C}">
                  <a14:compatExt spid="_x0000_s411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601980</xdr:colOff>
          <xdr:row>61</xdr:row>
          <xdr:rowOff>68580</xdr:rowOff>
        </xdr:from>
        <xdr:to>
          <xdr:col>12</xdr:col>
          <xdr:colOff>487680</xdr:colOff>
          <xdr:row>65</xdr:row>
          <xdr:rowOff>38100</xdr:rowOff>
        </xdr:to>
        <xdr:sp macro="" textlink="">
          <xdr:nvSpPr>
            <xdr:cNvPr id="4119" name="CommandButton11" descr="Set to Defaults" hidden="1">
              <a:extLst>
                <a:ext uri="{63B3BB69-23CF-44E3-9099-C40C66FF867C}">
                  <a14:compatExt spid="_x0000_s411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99060</xdr:colOff>
          <xdr:row>61</xdr:row>
          <xdr:rowOff>60960</xdr:rowOff>
        </xdr:from>
        <xdr:to>
          <xdr:col>16</xdr:col>
          <xdr:colOff>15240</xdr:colOff>
          <xdr:row>65</xdr:row>
          <xdr:rowOff>30480</xdr:rowOff>
        </xdr:to>
        <xdr:sp macro="" textlink="">
          <xdr:nvSpPr>
            <xdr:cNvPr id="4120" name="CommandButton12" descr="Reset Values" hidden="1">
              <a:extLst>
                <a:ext uri="{63B3BB69-23CF-44E3-9099-C40C66FF867C}">
                  <a14:compatExt spid="_x0000_s412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10</xdr:col>
      <xdr:colOff>531017</xdr:colOff>
      <xdr:row>13</xdr:row>
      <xdr:rowOff>288133</xdr:rowOff>
    </xdr:from>
    <xdr:to>
      <xdr:col>14</xdr:col>
      <xdr:colOff>40481</xdr:colOff>
      <xdr:row>15</xdr:row>
      <xdr:rowOff>26193</xdr:rowOff>
    </xdr:to>
    <xdr:sp macro="" textlink="">
      <xdr:nvSpPr>
        <xdr:cNvPr id="2" name="Rectangle 1">
          <a:hlinkClick xmlns:r="http://schemas.openxmlformats.org/officeDocument/2006/relationships" r:id="rId1"/>
        </xdr:cNvPr>
        <xdr:cNvSpPr/>
      </xdr:nvSpPr>
      <xdr:spPr>
        <a:xfrm>
          <a:off x="8751092" y="2955133"/>
          <a:ext cx="1976439" cy="271460"/>
        </a:xfrm>
        <a:prstGeom prst="rect">
          <a:avLst/>
        </a:prstGeom>
        <a:solidFill>
          <a:srgbClr val="004182"/>
        </a:solidFill>
        <a:ln>
          <a:solidFill>
            <a:srgbClr val="00306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200">
              <a:latin typeface="Arial" panose="020B0604020202020204" pitchFamily="34" charset="0"/>
              <a:cs typeface="Arial" panose="020B0604020202020204" pitchFamily="34" charset="0"/>
            </a:rPr>
            <a:t>Click</a:t>
          </a:r>
          <a:r>
            <a:rPr lang="en-US" sz="1200" baseline="0">
              <a:latin typeface="Arial" panose="020B0604020202020204" pitchFamily="34" charset="0"/>
              <a:cs typeface="Arial" panose="020B0604020202020204" pitchFamily="34" charset="0"/>
            </a:rPr>
            <a:t> here to go to manual</a:t>
          </a:r>
          <a:endParaRPr lang="en-US" sz="1200">
            <a:latin typeface="Arial" panose="020B0604020202020204" pitchFamily="34" charset="0"/>
            <a:cs typeface="Arial" panose="020B0604020202020204" pitchFamily="34" charset="0"/>
          </a:endParaRPr>
        </a:p>
      </xdr:txBody>
    </xdr:sp>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76200</xdr:colOff>
          <xdr:row>17</xdr:row>
          <xdr:rowOff>30480</xdr:rowOff>
        </xdr:from>
        <xdr:to>
          <xdr:col>4</xdr:col>
          <xdr:colOff>830580</xdr:colOff>
          <xdr:row>19</xdr:row>
          <xdr:rowOff>45720</xdr:rowOff>
        </xdr:to>
        <xdr:sp macro="" textlink="">
          <xdr:nvSpPr>
            <xdr:cNvPr id="3073" name="CommandButton1" descr="Button, click to set to default values for the number of new partners per year" hidden="1">
              <a:extLst>
                <a:ext uri="{63B3BB69-23CF-44E3-9099-C40C66FF867C}">
                  <a14:compatExt spid="_x0000_s307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106680</xdr:colOff>
          <xdr:row>32</xdr:row>
          <xdr:rowOff>60960</xdr:rowOff>
        </xdr:from>
        <xdr:to>
          <xdr:col>12</xdr:col>
          <xdr:colOff>30480</xdr:colOff>
          <xdr:row>36</xdr:row>
          <xdr:rowOff>30480</xdr:rowOff>
        </xdr:to>
        <xdr:sp macro="" textlink="">
          <xdr:nvSpPr>
            <xdr:cNvPr id="3074" name="CommandButton2" descr="Button, click to set to default values for the probability of condom use" hidden="1">
              <a:extLst>
                <a:ext uri="{63B3BB69-23CF-44E3-9099-C40C66FF867C}">
                  <a14:compatExt spid="_x0000_s307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76200</xdr:colOff>
          <xdr:row>19</xdr:row>
          <xdr:rowOff>114300</xdr:rowOff>
        </xdr:from>
        <xdr:to>
          <xdr:col>4</xdr:col>
          <xdr:colOff>838200</xdr:colOff>
          <xdr:row>21</xdr:row>
          <xdr:rowOff>152400</xdr:rowOff>
        </xdr:to>
        <xdr:sp macro="" textlink="">
          <xdr:nvSpPr>
            <xdr:cNvPr id="3075" name="CommandButton3" descr="Button, click to reset the values for the number of new partners per year" hidden="1">
              <a:extLst>
                <a:ext uri="{63B3BB69-23CF-44E3-9099-C40C66FF867C}">
                  <a14:compatExt spid="_x0000_s307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198120</xdr:colOff>
          <xdr:row>32</xdr:row>
          <xdr:rowOff>60960</xdr:rowOff>
        </xdr:from>
        <xdr:to>
          <xdr:col>15</xdr:col>
          <xdr:colOff>152400</xdr:colOff>
          <xdr:row>36</xdr:row>
          <xdr:rowOff>30480</xdr:rowOff>
        </xdr:to>
        <xdr:sp macro="" textlink="">
          <xdr:nvSpPr>
            <xdr:cNvPr id="3076" name="CommandButton4" descr="Button, click to reset the values for the probability of condom use" hidden="1">
              <a:extLst>
                <a:ext uri="{63B3BB69-23CF-44E3-9099-C40C66FF867C}">
                  <a14:compatExt spid="_x0000_s307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342900</xdr:colOff>
          <xdr:row>38</xdr:row>
          <xdr:rowOff>152400</xdr:rowOff>
        </xdr:from>
        <xdr:to>
          <xdr:col>11</xdr:col>
          <xdr:colOff>579120</xdr:colOff>
          <xdr:row>44</xdr:row>
          <xdr:rowOff>99060</xdr:rowOff>
        </xdr:to>
        <xdr:sp macro="" textlink="">
          <xdr:nvSpPr>
            <xdr:cNvPr id="3077" name="CommandButton5" descr="Button, click to proceed to next step" hidden="1">
              <a:extLst>
                <a:ext uri="{63B3BB69-23CF-44E3-9099-C40C66FF867C}">
                  <a14:compatExt spid="_x0000_s30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114300</xdr:colOff>
          <xdr:row>2</xdr:row>
          <xdr:rowOff>0</xdr:rowOff>
        </xdr:from>
        <xdr:to>
          <xdr:col>21</xdr:col>
          <xdr:colOff>1150620</xdr:colOff>
          <xdr:row>3</xdr:row>
          <xdr:rowOff>274320</xdr:rowOff>
        </xdr:to>
        <xdr:sp macro="" textlink="">
          <xdr:nvSpPr>
            <xdr:cNvPr id="3078" name="CommandButton6" descr="Button, click to go back to Table of Contents" hidden="1">
              <a:extLst>
                <a:ext uri="{63B3BB69-23CF-44E3-9099-C40C66FF867C}">
                  <a14:compatExt spid="_x0000_s307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192880</xdr:colOff>
      <xdr:row>0</xdr:row>
      <xdr:rowOff>147637</xdr:rowOff>
    </xdr:from>
    <xdr:to>
      <xdr:col>23</xdr:col>
      <xdr:colOff>169067</xdr:colOff>
      <xdr:row>73</xdr:row>
      <xdr:rowOff>76199</xdr:rowOff>
    </xdr:to>
    <xdr:sp macro="" textlink="">
      <xdr:nvSpPr>
        <xdr:cNvPr id="13" name="Half Frame 12" title="decorative frame"/>
        <xdr:cNvSpPr/>
      </xdr:nvSpPr>
      <xdr:spPr>
        <a:xfrm>
          <a:off x="192880" y="147637"/>
          <a:ext cx="16511587" cy="15416212"/>
        </a:xfrm>
        <a:prstGeom prst="halfFrame">
          <a:avLst>
            <a:gd name="adj1" fmla="val 1282"/>
            <a:gd name="adj2" fmla="val 1393"/>
          </a:avLst>
        </a:prstGeom>
        <a:solidFill>
          <a:srgbClr val="004182"/>
        </a:solidFill>
        <a:ln>
          <a:noFill/>
        </a:ln>
        <a:scene3d>
          <a:camera prst="orthographicFront"/>
          <a:lightRig rig="threePt" dir="t"/>
        </a:scene3d>
        <a:sp3d>
          <a:bevelT w="25400" h="254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mc:AlternateContent xmlns:mc="http://schemas.openxmlformats.org/markup-compatibility/2006">
    <mc:Choice xmlns:a14="http://schemas.microsoft.com/office/drawing/2010/main" Requires="a14">
      <xdr:twoCellAnchor editAs="oneCell">
        <xdr:from>
          <xdr:col>15</xdr:col>
          <xdr:colOff>419100</xdr:colOff>
          <xdr:row>17</xdr:row>
          <xdr:rowOff>60960</xdr:rowOff>
        </xdr:from>
        <xdr:to>
          <xdr:col>17</xdr:col>
          <xdr:colOff>579120</xdr:colOff>
          <xdr:row>19</xdr:row>
          <xdr:rowOff>91440</xdr:rowOff>
        </xdr:to>
        <xdr:sp macro="" textlink="">
          <xdr:nvSpPr>
            <xdr:cNvPr id="3079" name="CommandButton7" descr="Button, click to set to default values for coital frequency" hidden="1">
              <a:extLst>
                <a:ext uri="{63B3BB69-23CF-44E3-9099-C40C66FF867C}">
                  <a14:compatExt spid="_x0000_s307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419100</xdr:colOff>
          <xdr:row>19</xdr:row>
          <xdr:rowOff>152400</xdr:rowOff>
        </xdr:from>
        <xdr:to>
          <xdr:col>17</xdr:col>
          <xdr:colOff>586740</xdr:colOff>
          <xdr:row>22</xdr:row>
          <xdr:rowOff>7620</xdr:rowOff>
        </xdr:to>
        <xdr:sp macro="" textlink="">
          <xdr:nvSpPr>
            <xdr:cNvPr id="3080" name="CommandButton8" descr="Button, click to reset the values for coital frequency" hidden="1">
              <a:extLst>
                <a:ext uri="{63B3BB69-23CF-44E3-9099-C40C66FF867C}">
                  <a14:compatExt spid="_x0000_s308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16</xdr:col>
      <xdr:colOff>247651</xdr:colOff>
      <xdr:row>5</xdr:row>
      <xdr:rowOff>361950</xdr:rowOff>
    </xdr:from>
    <xdr:to>
      <xdr:col>18</xdr:col>
      <xdr:colOff>128589</xdr:colOff>
      <xdr:row>7</xdr:row>
      <xdr:rowOff>52387</xdr:rowOff>
    </xdr:to>
    <xdr:sp macro="" textlink="">
      <xdr:nvSpPr>
        <xdr:cNvPr id="11" name="Rectangle 10">
          <a:hlinkClick xmlns:r="http://schemas.openxmlformats.org/officeDocument/2006/relationships" r:id="rId1"/>
        </xdr:cNvPr>
        <xdr:cNvSpPr/>
      </xdr:nvSpPr>
      <xdr:spPr>
        <a:xfrm>
          <a:off x="10896601" y="1914525"/>
          <a:ext cx="1100138" cy="471487"/>
        </a:xfrm>
        <a:prstGeom prst="rect">
          <a:avLst/>
        </a:prstGeom>
        <a:solidFill>
          <a:srgbClr val="004182"/>
        </a:solidFill>
        <a:ln>
          <a:solidFill>
            <a:srgbClr val="00306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200">
              <a:latin typeface="Arial" panose="020B0604020202020204" pitchFamily="34" charset="0"/>
              <a:cs typeface="Arial" panose="020B0604020202020204" pitchFamily="34" charset="0"/>
            </a:rPr>
            <a:t>Click</a:t>
          </a:r>
          <a:r>
            <a:rPr lang="en-US" sz="1200" baseline="0">
              <a:latin typeface="Arial" panose="020B0604020202020204" pitchFamily="34" charset="0"/>
              <a:cs typeface="Arial" panose="020B0604020202020204" pitchFamily="34" charset="0"/>
            </a:rPr>
            <a:t> here to go to manual </a:t>
          </a:r>
          <a:endParaRPr lang="en-US" sz="1200">
            <a:latin typeface="Arial" panose="020B0604020202020204" pitchFamily="34" charset="0"/>
            <a:cs typeface="Arial" panose="020B0604020202020204" pitchFamily="34" charset="0"/>
          </a:endParaRPr>
        </a:p>
      </xdr:txBody>
    </xdr:sp>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15</xdr:col>
          <xdr:colOff>38100</xdr:colOff>
          <xdr:row>18</xdr:row>
          <xdr:rowOff>38100</xdr:rowOff>
        </xdr:from>
        <xdr:to>
          <xdr:col>18</xdr:col>
          <xdr:colOff>213360</xdr:colOff>
          <xdr:row>22</xdr:row>
          <xdr:rowOff>7620</xdr:rowOff>
        </xdr:to>
        <xdr:sp macro="" textlink="">
          <xdr:nvSpPr>
            <xdr:cNvPr id="14340" name="CommandButton4" descr="Button, click to reset the values for diagnoses of gonorrhea " hidden="1">
              <a:extLst>
                <a:ext uri="{63B3BB69-23CF-44E3-9099-C40C66FF867C}">
                  <a14:compatExt spid="_x0000_s1434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38100</xdr:colOff>
          <xdr:row>30</xdr:row>
          <xdr:rowOff>45720</xdr:rowOff>
        </xdr:from>
        <xdr:to>
          <xdr:col>18</xdr:col>
          <xdr:colOff>213360</xdr:colOff>
          <xdr:row>34</xdr:row>
          <xdr:rowOff>30480</xdr:rowOff>
        </xdr:to>
        <xdr:sp macro="" textlink="">
          <xdr:nvSpPr>
            <xdr:cNvPr id="14341" name="CommandButton5" descr="Button, click to reset default values for diagnoses of chlamydia " hidden="1">
              <a:extLst>
                <a:ext uri="{63B3BB69-23CF-44E3-9099-C40C66FF867C}">
                  <a14:compatExt spid="_x0000_s143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495300</xdr:colOff>
          <xdr:row>47</xdr:row>
          <xdr:rowOff>83820</xdr:rowOff>
        </xdr:from>
        <xdr:to>
          <xdr:col>13</xdr:col>
          <xdr:colOff>190500</xdr:colOff>
          <xdr:row>52</xdr:row>
          <xdr:rowOff>53340</xdr:rowOff>
        </xdr:to>
        <xdr:sp macro="" textlink="">
          <xdr:nvSpPr>
            <xdr:cNvPr id="14343" name="CommandButton7" descr="Buttton, click to proceed to interventions page" hidden="1">
              <a:extLst>
                <a:ext uri="{63B3BB69-23CF-44E3-9099-C40C66FF867C}">
                  <a14:compatExt spid="_x0000_s1434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335280</xdr:colOff>
          <xdr:row>2</xdr:row>
          <xdr:rowOff>30480</xdr:rowOff>
        </xdr:from>
        <xdr:to>
          <xdr:col>19</xdr:col>
          <xdr:colOff>594360</xdr:colOff>
          <xdr:row>3</xdr:row>
          <xdr:rowOff>304800</xdr:rowOff>
        </xdr:to>
        <xdr:sp macro="" textlink="">
          <xdr:nvSpPr>
            <xdr:cNvPr id="14344" name="CommandButton1" descr="Button, click to go ack to the Table of Contents" hidden="1">
              <a:extLst>
                <a:ext uri="{63B3BB69-23CF-44E3-9099-C40C66FF867C}">
                  <a14:compatExt spid="_x0000_s1434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411480</xdr:colOff>
          <xdr:row>42</xdr:row>
          <xdr:rowOff>114300</xdr:rowOff>
        </xdr:from>
        <xdr:to>
          <xdr:col>9</xdr:col>
          <xdr:colOff>563880</xdr:colOff>
          <xdr:row>44</xdr:row>
          <xdr:rowOff>160020</xdr:rowOff>
        </xdr:to>
        <xdr:sp macro="" textlink="">
          <xdr:nvSpPr>
            <xdr:cNvPr id="14345" name="CommandButton2" descr="Button, click to set default values for diagnoses of HIV " hidden="1">
              <a:extLst>
                <a:ext uri="{63B3BB69-23CF-44E3-9099-C40C66FF867C}">
                  <a14:compatExt spid="_x0000_s1434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693420</xdr:colOff>
          <xdr:row>42</xdr:row>
          <xdr:rowOff>114300</xdr:rowOff>
        </xdr:from>
        <xdr:to>
          <xdr:col>11</xdr:col>
          <xdr:colOff>91440</xdr:colOff>
          <xdr:row>44</xdr:row>
          <xdr:rowOff>160020</xdr:rowOff>
        </xdr:to>
        <xdr:sp macro="" textlink="">
          <xdr:nvSpPr>
            <xdr:cNvPr id="14346" name="CommandButton3" descr="Button, click to reset default values for diagnoses of HIV " hidden="1">
              <a:extLst>
                <a:ext uri="{63B3BB69-23CF-44E3-9099-C40C66FF867C}">
                  <a14:compatExt spid="_x0000_s1434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335280</xdr:colOff>
          <xdr:row>47</xdr:row>
          <xdr:rowOff>83820</xdr:rowOff>
        </xdr:from>
        <xdr:to>
          <xdr:col>8</xdr:col>
          <xdr:colOff>312420</xdr:colOff>
          <xdr:row>52</xdr:row>
          <xdr:rowOff>53340</xdr:rowOff>
        </xdr:to>
        <xdr:sp macro="" textlink="">
          <xdr:nvSpPr>
            <xdr:cNvPr id="14347" name="CommandButton6" descr="Buttton, click to skip to results page" hidden="1">
              <a:extLst>
                <a:ext uri="{63B3BB69-23CF-44E3-9099-C40C66FF867C}">
                  <a14:compatExt spid="_x0000_s1434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373380</xdr:colOff>
          <xdr:row>18</xdr:row>
          <xdr:rowOff>45720</xdr:rowOff>
        </xdr:from>
        <xdr:to>
          <xdr:col>14</xdr:col>
          <xdr:colOff>518160</xdr:colOff>
          <xdr:row>22</xdr:row>
          <xdr:rowOff>15240</xdr:rowOff>
        </xdr:to>
        <xdr:sp macro="" textlink="">
          <xdr:nvSpPr>
            <xdr:cNvPr id="14348" name="CommandButton9" descr="Button, click to set default values for diagnoses of gonorrhea " hidden="1">
              <a:extLst>
                <a:ext uri="{63B3BB69-23CF-44E3-9099-C40C66FF867C}">
                  <a14:compatExt spid="_x0000_s1434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350520</xdr:colOff>
          <xdr:row>30</xdr:row>
          <xdr:rowOff>45720</xdr:rowOff>
        </xdr:from>
        <xdr:to>
          <xdr:col>14</xdr:col>
          <xdr:colOff>502920</xdr:colOff>
          <xdr:row>34</xdr:row>
          <xdr:rowOff>30480</xdr:rowOff>
        </xdr:to>
        <xdr:sp macro="" textlink="">
          <xdr:nvSpPr>
            <xdr:cNvPr id="14349" name="CommandButton8" descr="Button, click to set default values for diagnoses of chlamydia " hidden="1">
              <a:extLst>
                <a:ext uri="{63B3BB69-23CF-44E3-9099-C40C66FF867C}">
                  <a14:compatExt spid="_x0000_s143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142875</xdr:colOff>
      <xdr:row>0</xdr:row>
      <xdr:rowOff>130969</xdr:rowOff>
    </xdr:from>
    <xdr:to>
      <xdr:col>21</xdr:col>
      <xdr:colOff>273843</xdr:colOff>
      <xdr:row>82</xdr:row>
      <xdr:rowOff>95249</xdr:rowOff>
    </xdr:to>
    <xdr:sp macro="" textlink="">
      <xdr:nvSpPr>
        <xdr:cNvPr id="16" name="Half Frame 15" title="decorative frame"/>
        <xdr:cNvSpPr/>
      </xdr:nvSpPr>
      <xdr:spPr>
        <a:xfrm>
          <a:off x="142875" y="130969"/>
          <a:ext cx="15823406" cy="16323468"/>
        </a:xfrm>
        <a:prstGeom prst="halfFrame">
          <a:avLst>
            <a:gd name="adj1" fmla="val 1282"/>
            <a:gd name="adj2" fmla="val 1393"/>
          </a:avLst>
        </a:prstGeom>
        <a:solidFill>
          <a:srgbClr val="004182"/>
        </a:solidFill>
        <a:ln>
          <a:noFill/>
        </a:ln>
        <a:scene3d>
          <a:camera prst="orthographicFront"/>
          <a:lightRig rig="threePt" dir="t"/>
        </a:scene3d>
        <a:sp3d>
          <a:bevelT w="25400" h="254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11</xdr:col>
      <xdr:colOff>392907</xdr:colOff>
      <xdr:row>7</xdr:row>
      <xdr:rowOff>130969</xdr:rowOff>
    </xdr:from>
    <xdr:to>
      <xdr:col>13</xdr:col>
      <xdr:colOff>440532</xdr:colOff>
      <xdr:row>9</xdr:row>
      <xdr:rowOff>202406</xdr:rowOff>
    </xdr:to>
    <xdr:sp macro="" textlink="">
      <xdr:nvSpPr>
        <xdr:cNvPr id="12" name="Rectangle 11">
          <a:hlinkClick xmlns:r="http://schemas.openxmlformats.org/officeDocument/2006/relationships" r:id="rId1"/>
        </xdr:cNvPr>
        <xdr:cNvSpPr/>
      </xdr:nvSpPr>
      <xdr:spPr>
        <a:xfrm>
          <a:off x="9013032" y="1881188"/>
          <a:ext cx="1095375" cy="476249"/>
        </a:xfrm>
        <a:prstGeom prst="rect">
          <a:avLst/>
        </a:prstGeom>
        <a:solidFill>
          <a:srgbClr val="004182"/>
        </a:solidFill>
        <a:ln>
          <a:solidFill>
            <a:srgbClr val="00306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200">
              <a:latin typeface="Arial" panose="020B0604020202020204" pitchFamily="34" charset="0"/>
              <a:cs typeface="Arial" panose="020B0604020202020204" pitchFamily="34" charset="0"/>
            </a:rPr>
            <a:t>Click</a:t>
          </a:r>
          <a:r>
            <a:rPr lang="en-US" sz="1200" baseline="0">
              <a:latin typeface="Arial" panose="020B0604020202020204" pitchFamily="34" charset="0"/>
              <a:cs typeface="Arial" panose="020B0604020202020204" pitchFamily="34" charset="0"/>
            </a:rPr>
            <a:t> here to go to manual </a:t>
          </a:r>
          <a:endParaRPr lang="en-US" sz="1200">
            <a:latin typeface="Arial" panose="020B0604020202020204" pitchFamily="34" charset="0"/>
            <a:cs typeface="Arial" panose="020B0604020202020204" pitchFamily="34" charset="0"/>
          </a:endParaRPr>
        </a:p>
      </xdr:txBody>
    </xdr:sp>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228600</xdr:colOff>
          <xdr:row>20</xdr:row>
          <xdr:rowOff>152400</xdr:rowOff>
        </xdr:from>
        <xdr:to>
          <xdr:col>2</xdr:col>
          <xdr:colOff>342900</xdr:colOff>
          <xdr:row>26</xdr:row>
          <xdr:rowOff>0</xdr:rowOff>
        </xdr:to>
        <xdr:sp macro="" textlink="">
          <xdr:nvSpPr>
            <xdr:cNvPr id="24577" name="CheckBox1" descr="Please check if you wish to apply this intervention" hidden="1">
              <a:extLst>
                <a:ext uri="{63B3BB69-23CF-44E3-9099-C40C66FF867C}">
                  <a14:compatExt spid="_x0000_s245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99060</xdr:colOff>
          <xdr:row>33</xdr:row>
          <xdr:rowOff>0</xdr:rowOff>
        </xdr:from>
        <xdr:to>
          <xdr:col>2</xdr:col>
          <xdr:colOff>396240</xdr:colOff>
          <xdr:row>38</xdr:row>
          <xdr:rowOff>114300</xdr:rowOff>
        </xdr:to>
        <xdr:sp macro="" textlink="">
          <xdr:nvSpPr>
            <xdr:cNvPr id="24578" name="CheckBox2" descr="Please check if you wish to apply this intervention" hidden="1">
              <a:extLst>
                <a:ext uri="{63B3BB69-23CF-44E3-9099-C40C66FF867C}">
                  <a14:compatExt spid="_x0000_s2457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312420</xdr:colOff>
          <xdr:row>48</xdr:row>
          <xdr:rowOff>76200</xdr:rowOff>
        </xdr:from>
        <xdr:to>
          <xdr:col>8</xdr:col>
          <xdr:colOff>1310640</xdr:colOff>
          <xdr:row>53</xdr:row>
          <xdr:rowOff>114300</xdr:rowOff>
        </xdr:to>
        <xdr:sp macro="" textlink="">
          <xdr:nvSpPr>
            <xdr:cNvPr id="24579" name="CommandButton1" descr="Button, click to proceed to results page&#10;" hidden="1">
              <a:extLst>
                <a:ext uri="{63B3BB69-23CF-44E3-9099-C40C66FF867C}">
                  <a14:compatExt spid="_x0000_s2457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564356</xdr:colOff>
      <xdr:row>27</xdr:row>
      <xdr:rowOff>85723</xdr:rowOff>
    </xdr:from>
    <xdr:to>
      <xdr:col>7</xdr:col>
      <xdr:colOff>59531</xdr:colOff>
      <xdr:row>32</xdr:row>
      <xdr:rowOff>250031</xdr:rowOff>
    </xdr:to>
    <xdr:sp macro="" textlink="">
      <xdr:nvSpPr>
        <xdr:cNvPr id="3" name="TextBox 2" descr="WARNING: &#10;The intervention will default to the &quot;across all subgroups&quot; setting unless the input box has been cleared &#10;"/>
        <xdr:cNvSpPr txBox="1"/>
      </xdr:nvSpPr>
      <xdr:spPr>
        <a:xfrm>
          <a:off x="3136106" y="5503067"/>
          <a:ext cx="2055019" cy="1116808"/>
        </a:xfrm>
        <a:prstGeom prst="rect">
          <a:avLst/>
        </a:prstGeom>
        <a:solidFill>
          <a:schemeClr val="accent6">
            <a:lumMod val="40000"/>
            <a:lumOff val="6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i="0" u="none" strike="noStrike">
              <a:solidFill>
                <a:schemeClr val="dk1"/>
              </a:solidFill>
              <a:effectLst/>
              <a:latin typeface="+mn-lt"/>
              <a:ea typeface="+mn-ea"/>
              <a:cs typeface="+mn-cs"/>
            </a:rPr>
            <a:t>WARNING:</a:t>
          </a:r>
          <a:r>
            <a:rPr lang="en-US" sz="1100" b="0" i="0" u="none" strike="noStrike">
              <a:solidFill>
                <a:schemeClr val="dk1"/>
              </a:solidFill>
              <a:effectLst/>
              <a:latin typeface="+mn-lt"/>
              <a:ea typeface="+mn-ea"/>
              <a:cs typeface="+mn-cs"/>
            </a:rPr>
            <a:t> </a:t>
          </a:r>
          <a:br>
            <a:rPr lang="en-US" sz="1100" b="0" i="0" u="none" strike="noStrike">
              <a:solidFill>
                <a:schemeClr val="dk1"/>
              </a:solidFill>
              <a:effectLst/>
              <a:latin typeface="+mn-lt"/>
              <a:ea typeface="+mn-ea"/>
              <a:cs typeface="+mn-cs"/>
            </a:rPr>
          </a:br>
          <a:r>
            <a:rPr lang="en-US" sz="1100" b="0" i="0" u="none" strike="noStrike">
              <a:solidFill>
                <a:schemeClr val="dk1"/>
              </a:solidFill>
              <a:effectLst/>
              <a:latin typeface="Arial" panose="020B0604020202020204" pitchFamily="34" charset="0"/>
              <a:ea typeface="+mn-ea"/>
              <a:cs typeface="Arial" panose="020B0604020202020204" pitchFamily="34" charset="0"/>
            </a:rPr>
            <a:t>The intervention will default to the "across all subgroups" setting unless the input box has been cleared</a:t>
          </a:r>
          <a:r>
            <a:rPr lang="en-US">
              <a:latin typeface="Arial" panose="020B0604020202020204" pitchFamily="34" charset="0"/>
              <a:cs typeface="Arial" panose="020B0604020202020204" pitchFamily="34" charset="0"/>
            </a:rPr>
            <a:t> </a:t>
          </a:r>
          <a:endParaRPr lang="en-US" sz="1100">
            <a:latin typeface="Arial" panose="020B0604020202020204" pitchFamily="34" charset="0"/>
            <a:cs typeface="Arial" panose="020B0604020202020204" pitchFamily="34" charset="0"/>
          </a:endParaRPr>
        </a:p>
      </xdr:txBody>
    </xdr:sp>
    <xdr:clientData/>
  </xdr:twoCellAnchor>
  <mc:AlternateContent xmlns:mc="http://schemas.openxmlformats.org/markup-compatibility/2006">
    <mc:Choice xmlns:a14="http://schemas.microsoft.com/office/drawing/2010/main" Requires="a14">
      <xdr:twoCellAnchor editAs="oneCell">
        <xdr:from>
          <xdr:col>12</xdr:col>
          <xdr:colOff>381000</xdr:colOff>
          <xdr:row>28</xdr:row>
          <xdr:rowOff>45720</xdr:rowOff>
        </xdr:from>
        <xdr:to>
          <xdr:col>14</xdr:col>
          <xdr:colOff>472440</xdr:colOff>
          <xdr:row>31</xdr:row>
          <xdr:rowOff>45720</xdr:rowOff>
        </xdr:to>
        <xdr:sp macro="" textlink="">
          <xdr:nvSpPr>
            <xdr:cNvPr id="24580" name="CommandButton2" descr="Button, click to reset the values of the intervetion to decrease the frequency of sex acts" hidden="1">
              <a:extLst>
                <a:ext uri="{63B3BB69-23CF-44E3-9099-C40C66FF867C}">
                  <a14:compatExt spid="_x0000_s2458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381000</xdr:colOff>
          <xdr:row>41</xdr:row>
          <xdr:rowOff>7620</xdr:rowOff>
        </xdr:from>
        <xdr:to>
          <xdr:col>14</xdr:col>
          <xdr:colOff>472440</xdr:colOff>
          <xdr:row>44</xdr:row>
          <xdr:rowOff>53340</xdr:rowOff>
        </xdr:to>
        <xdr:sp macro="" textlink="">
          <xdr:nvSpPr>
            <xdr:cNvPr id="24581" name="CommandButton3" descr="Button, click to reset the values of the intervetion to increase the probability of condom use&#10;" hidden="1">
              <a:extLst>
                <a:ext uri="{63B3BB69-23CF-44E3-9099-C40C66FF867C}">
                  <a14:compatExt spid="_x0000_s2458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350520</xdr:colOff>
          <xdr:row>2</xdr:row>
          <xdr:rowOff>22860</xdr:rowOff>
        </xdr:from>
        <xdr:to>
          <xdr:col>19</xdr:col>
          <xdr:colOff>594360</xdr:colOff>
          <xdr:row>3</xdr:row>
          <xdr:rowOff>297180</xdr:rowOff>
        </xdr:to>
        <xdr:sp macro="" textlink="">
          <xdr:nvSpPr>
            <xdr:cNvPr id="24582" name="CommandButton4" descr="Back to Table of Contents" hidden="1">
              <a:extLst>
                <a:ext uri="{63B3BB69-23CF-44E3-9099-C40C66FF867C}">
                  <a14:compatExt spid="_x0000_s2458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547687</xdr:colOff>
      <xdr:row>40</xdr:row>
      <xdr:rowOff>88106</xdr:rowOff>
    </xdr:from>
    <xdr:to>
      <xdr:col>7</xdr:col>
      <xdr:colOff>42862</xdr:colOff>
      <xdr:row>46</xdr:row>
      <xdr:rowOff>47625</xdr:rowOff>
    </xdr:to>
    <xdr:sp macro="" textlink="">
      <xdr:nvSpPr>
        <xdr:cNvPr id="13" name="TextBox 12" descr="WARNING: &#10;The intervention will default to the &quot;across all subgroups&quot; setting unless the input box has been cleared &#10;"/>
        <xdr:cNvSpPr txBox="1"/>
      </xdr:nvSpPr>
      <xdr:spPr>
        <a:xfrm>
          <a:off x="3202781" y="7898606"/>
          <a:ext cx="1924050" cy="1102519"/>
        </a:xfrm>
        <a:prstGeom prst="rect">
          <a:avLst/>
        </a:prstGeom>
        <a:solidFill>
          <a:schemeClr val="accent6">
            <a:lumMod val="40000"/>
            <a:lumOff val="6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i="0" u="none" strike="noStrike">
              <a:solidFill>
                <a:schemeClr val="dk1"/>
              </a:solidFill>
              <a:effectLst/>
              <a:latin typeface="+mn-lt"/>
              <a:ea typeface="+mn-ea"/>
              <a:cs typeface="+mn-cs"/>
            </a:rPr>
            <a:t>WARNING:</a:t>
          </a:r>
          <a:r>
            <a:rPr lang="en-US" sz="1100" b="0" i="0" u="none" strike="noStrike">
              <a:solidFill>
                <a:schemeClr val="dk1"/>
              </a:solidFill>
              <a:effectLst/>
              <a:latin typeface="+mn-lt"/>
              <a:ea typeface="+mn-ea"/>
              <a:cs typeface="+mn-cs"/>
            </a:rPr>
            <a:t> </a:t>
          </a:r>
          <a:br>
            <a:rPr lang="en-US" sz="1100" b="0" i="0" u="none" strike="noStrike">
              <a:solidFill>
                <a:schemeClr val="dk1"/>
              </a:solidFill>
              <a:effectLst/>
              <a:latin typeface="+mn-lt"/>
              <a:ea typeface="+mn-ea"/>
              <a:cs typeface="+mn-cs"/>
            </a:rPr>
          </a:br>
          <a:r>
            <a:rPr lang="en-US" sz="1100" b="0" i="0" u="none" strike="noStrike">
              <a:solidFill>
                <a:schemeClr val="dk1"/>
              </a:solidFill>
              <a:effectLst/>
              <a:latin typeface="Arial" panose="020B0604020202020204" pitchFamily="34" charset="0"/>
              <a:ea typeface="+mn-ea"/>
              <a:cs typeface="Arial" panose="020B0604020202020204" pitchFamily="34" charset="0"/>
            </a:rPr>
            <a:t>The intervention will default to the "across all subgroups" setting unless the input box has been cleared</a:t>
          </a:r>
          <a:r>
            <a:rPr lang="en-US">
              <a:latin typeface="Arial" panose="020B0604020202020204" pitchFamily="34" charset="0"/>
              <a:cs typeface="Arial" panose="020B0604020202020204" pitchFamily="34" charset="0"/>
            </a:rPr>
            <a:t> </a:t>
          </a:r>
          <a:endParaRPr lang="en-US" sz="1100">
            <a:latin typeface="Arial" panose="020B0604020202020204" pitchFamily="34" charset="0"/>
            <a:cs typeface="Arial" panose="020B0604020202020204" pitchFamily="34" charset="0"/>
          </a:endParaRPr>
        </a:p>
      </xdr:txBody>
    </xdr:sp>
    <xdr:clientData/>
  </xdr:twoCellAnchor>
  <xdr:twoCellAnchor>
    <xdr:from>
      <xdr:col>0</xdr:col>
      <xdr:colOff>130966</xdr:colOff>
      <xdr:row>0</xdr:row>
      <xdr:rowOff>130966</xdr:rowOff>
    </xdr:from>
    <xdr:to>
      <xdr:col>21</xdr:col>
      <xdr:colOff>154778</xdr:colOff>
      <xdr:row>85</xdr:row>
      <xdr:rowOff>71434</xdr:rowOff>
    </xdr:to>
    <xdr:sp macro="" textlink="">
      <xdr:nvSpPr>
        <xdr:cNvPr id="14" name="Half Frame 13" title="decorative frame"/>
        <xdr:cNvSpPr/>
      </xdr:nvSpPr>
      <xdr:spPr>
        <a:xfrm>
          <a:off x="130966" y="130966"/>
          <a:ext cx="16359187" cy="14732793"/>
        </a:xfrm>
        <a:prstGeom prst="halfFrame">
          <a:avLst>
            <a:gd name="adj1" fmla="val 1282"/>
            <a:gd name="adj2" fmla="val 1393"/>
          </a:avLst>
        </a:prstGeom>
        <a:solidFill>
          <a:srgbClr val="004182"/>
        </a:solidFill>
        <a:ln>
          <a:noFill/>
        </a:ln>
        <a:scene3d>
          <a:camera prst="orthographicFront"/>
          <a:lightRig rig="threePt" dir="t"/>
        </a:scene3d>
        <a:sp3d>
          <a:bevelT w="25400" h="254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13</xdr:col>
      <xdr:colOff>490538</xdr:colOff>
      <xdr:row>10</xdr:row>
      <xdr:rowOff>152400</xdr:rowOff>
    </xdr:from>
    <xdr:to>
      <xdr:col>15</xdr:col>
      <xdr:colOff>371476</xdr:colOff>
      <xdr:row>13</xdr:row>
      <xdr:rowOff>38099</xdr:rowOff>
    </xdr:to>
    <xdr:sp macro="" textlink="">
      <xdr:nvSpPr>
        <xdr:cNvPr id="11" name="Rectangle 10">
          <a:hlinkClick xmlns:r="http://schemas.openxmlformats.org/officeDocument/2006/relationships" r:id="rId1"/>
        </xdr:cNvPr>
        <xdr:cNvSpPr/>
      </xdr:nvSpPr>
      <xdr:spPr>
        <a:xfrm>
          <a:off x="11510963" y="2238375"/>
          <a:ext cx="1100138" cy="476249"/>
        </a:xfrm>
        <a:prstGeom prst="rect">
          <a:avLst/>
        </a:prstGeom>
        <a:solidFill>
          <a:srgbClr val="004182"/>
        </a:solidFill>
        <a:ln>
          <a:solidFill>
            <a:srgbClr val="00306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200">
              <a:latin typeface="Arial" panose="020B0604020202020204" pitchFamily="34" charset="0"/>
              <a:cs typeface="Arial" panose="020B0604020202020204" pitchFamily="34" charset="0"/>
            </a:rPr>
            <a:t>Click</a:t>
          </a:r>
          <a:r>
            <a:rPr lang="en-US" sz="1200" baseline="0">
              <a:latin typeface="Arial" panose="020B0604020202020204" pitchFamily="34" charset="0"/>
              <a:cs typeface="Arial" panose="020B0604020202020204" pitchFamily="34" charset="0"/>
            </a:rPr>
            <a:t> here to go to manual </a:t>
          </a:r>
          <a:endParaRPr lang="en-US" sz="1200">
            <a:latin typeface="Arial" panose="020B0604020202020204" pitchFamily="34" charset="0"/>
            <a:cs typeface="Arial" panose="020B0604020202020204" pitchFamily="34" charset="0"/>
          </a:endParaRPr>
        </a:p>
      </xdr:txBody>
    </xdr:sp>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563880</xdr:colOff>
          <xdr:row>6</xdr:row>
          <xdr:rowOff>0</xdr:rowOff>
        </xdr:from>
        <xdr:to>
          <xdr:col>0</xdr:col>
          <xdr:colOff>2979420</xdr:colOff>
          <xdr:row>7</xdr:row>
          <xdr:rowOff>152400</xdr:rowOff>
        </xdr:to>
        <xdr:sp macro="" textlink="">
          <xdr:nvSpPr>
            <xdr:cNvPr id="15361" name="CommandButton1" descr="Button, click to Calculate Baseline Model " hidden="1">
              <a:extLst>
                <a:ext uri="{63B3BB69-23CF-44E3-9099-C40C66FF867C}">
                  <a14:compatExt spid="_x0000_s1536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541020</xdr:colOff>
          <xdr:row>12</xdr:row>
          <xdr:rowOff>7620</xdr:rowOff>
        </xdr:from>
        <xdr:to>
          <xdr:col>0</xdr:col>
          <xdr:colOff>2971800</xdr:colOff>
          <xdr:row>15</xdr:row>
          <xdr:rowOff>190500</xdr:rowOff>
        </xdr:to>
        <xdr:sp macro="" textlink="">
          <xdr:nvSpPr>
            <xdr:cNvPr id="15362" name="CommandButton2" descr="Button, click to Calculate Comparison Model 1" hidden="1">
              <a:extLst>
                <a:ext uri="{63B3BB69-23CF-44E3-9099-C40C66FF867C}">
                  <a14:compatExt spid="_x0000_s1536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541020</xdr:colOff>
          <xdr:row>20</xdr:row>
          <xdr:rowOff>0</xdr:rowOff>
        </xdr:from>
        <xdr:to>
          <xdr:col>0</xdr:col>
          <xdr:colOff>2979420</xdr:colOff>
          <xdr:row>23</xdr:row>
          <xdr:rowOff>160020</xdr:rowOff>
        </xdr:to>
        <xdr:sp macro="" textlink="">
          <xdr:nvSpPr>
            <xdr:cNvPr id="15363" name="CommandButton3" descr="Button, click to Calculate Comparison Model 2" hidden="1">
              <a:extLst>
                <a:ext uri="{63B3BB69-23CF-44E3-9099-C40C66FF867C}">
                  <a14:compatExt spid="_x0000_s1536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556260</xdr:colOff>
          <xdr:row>28</xdr:row>
          <xdr:rowOff>0</xdr:rowOff>
        </xdr:from>
        <xdr:to>
          <xdr:col>0</xdr:col>
          <xdr:colOff>2979420</xdr:colOff>
          <xdr:row>31</xdr:row>
          <xdr:rowOff>175260</xdr:rowOff>
        </xdr:to>
        <xdr:sp macro="" textlink="">
          <xdr:nvSpPr>
            <xdr:cNvPr id="15364" name="CommandButton4" descr="Button, click to Calculate Comparison Model 3" hidden="1">
              <a:extLst>
                <a:ext uri="{63B3BB69-23CF-44E3-9099-C40C66FF867C}">
                  <a14:compatExt spid="_x0000_s1536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556260</xdr:colOff>
          <xdr:row>36</xdr:row>
          <xdr:rowOff>0</xdr:rowOff>
        </xdr:from>
        <xdr:to>
          <xdr:col>0</xdr:col>
          <xdr:colOff>2971800</xdr:colOff>
          <xdr:row>39</xdr:row>
          <xdr:rowOff>190500</xdr:rowOff>
        </xdr:to>
        <xdr:sp macro="" textlink="">
          <xdr:nvSpPr>
            <xdr:cNvPr id="15365" name="CommandButton5" descr="Button, click to Calculate Comparison Model 4" hidden="1">
              <a:extLst>
                <a:ext uri="{63B3BB69-23CF-44E3-9099-C40C66FF867C}">
                  <a14:compatExt spid="_x0000_s153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563880</xdr:colOff>
          <xdr:row>7</xdr:row>
          <xdr:rowOff>182880</xdr:rowOff>
        </xdr:from>
        <xdr:to>
          <xdr:col>0</xdr:col>
          <xdr:colOff>2979420</xdr:colOff>
          <xdr:row>9</xdr:row>
          <xdr:rowOff>15240</xdr:rowOff>
        </xdr:to>
        <xdr:sp macro="" textlink="">
          <xdr:nvSpPr>
            <xdr:cNvPr id="15366" name="CommandButton6" descr="Button, click to Reset Model" hidden="1">
              <a:extLst>
                <a:ext uri="{63B3BB69-23CF-44E3-9099-C40C66FF867C}">
                  <a14:compatExt spid="_x0000_s153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556260</xdr:colOff>
          <xdr:row>16</xdr:row>
          <xdr:rowOff>7620</xdr:rowOff>
        </xdr:from>
        <xdr:to>
          <xdr:col>0</xdr:col>
          <xdr:colOff>2979420</xdr:colOff>
          <xdr:row>18</xdr:row>
          <xdr:rowOff>7620</xdr:rowOff>
        </xdr:to>
        <xdr:sp macro="" textlink="">
          <xdr:nvSpPr>
            <xdr:cNvPr id="15367" name="CommandButton7" descr="Button, click to Reset Comparison Model 1" hidden="1">
              <a:extLst>
                <a:ext uri="{63B3BB69-23CF-44E3-9099-C40C66FF867C}">
                  <a14:compatExt spid="_x0000_s1536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556260</xdr:colOff>
          <xdr:row>23</xdr:row>
          <xdr:rowOff>220980</xdr:rowOff>
        </xdr:from>
        <xdr:to>
          <xdr:col>0</xdr:col>
          <xdr:colOff>2971800</xdr:colOff>
          <xdr:row>26</xdr:row>
          <xdr:rowOff>22860</xdr:rowOff>
        </xdr:to>
        <xdr:sp macro="" textlink="">
          <xdr:nvSpPr>
            <xdr:cNvPr id="15368" name="CommandButton8" descr="Button, click to Reset Comparison Model 2" hidden="1">
              <a:extLst>
                <a:ext uri="{63B3BB69-23CF-44E3-9099-C40C66FF867C}">
                  <a14:compatExt spid="_x0000_s1536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556260</xdr:colOff>
          <xdr:row>31</xdr:row>
          <xdr:rowOff>213360</xdr:rowOff>
        </xdr:from>
        <xdr:to>
          <xdr:col>0</xdr:col>
          <xdr:colOff>2971800</xdr:colOff>
          <xdr:row>34</xdr:row>
          <xdr:rowOff>22860</xdr:rowOff>
        </xdr:to>
        <xdr:sp macro="" textlink="">
          <xdr:nvSpPr>
            <xdr:cNvPr id="15369" name="CommandButton9" descr="Button, click to Reset Comparison Model 3" hidden="1">
              <a:extLst>
                <a:ext uri="{63B3BB69-23CF-44E3-9099-C40C66FF867C}">
                  <a14:compatExt spid="_x0000_s1536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556260</xdr:colOff>
          <xdr:row>40</xdr:row>
          <xdr:rowOff>0</xdr:rowOff>
        </xdr:from>
        <xdr:to>
          <xdr:col>0</xdr:col>
          <xdr:colOff>2971800</xdr:colOff>
          <xdr:row>42</xdr:row>
          <xdr:rowOff>22860</xdr:rowOff>
        </xdr:to>
        <xdr:sp macro="" textlink="">
          <xdr:nvSpPr>
            <xdr:cNvPr id="15370" name="CommandButton10" descr="Button, click to Reset Comparison Model 4" hidden="1">
              <a:extLst>
                <a:ext uri="{63B3BB69-23CF-44E3-9099-C40C66FF867C}">
                  <a14:compatExt spid="_x0000_s1537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83820</xdr:colOff>
          <xdr:row>1</xdr:row>
          <xdr:rowOff>0</xdr:rowOff>
        </xdr:from>
        <xdr:to>
          <xdr:col>14</xdr:col>
          <xdr:colOff>60960</xdr:colOff>
          <xdr:row>2</xdr:row>
          <xdr:rowOff>106680</xdr:rowOff>
        </xdr:to>
        <xdr:sp macro="" textlink="">
          <xdr:nvSpPr>
            <xdr:cNvPr id="15371" name="CommandButton11" descr="button, click to go back to the table of contents&#10;" hidden="1">
              <a:extLst>
                <a:ext uri="{63B3BB69-23CF-44E3-9099-C40C66FF867C}">
                  <a14:compatExt spid="_x0000_s1537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632460</xdr:colOff>
          <xdr:row>1</xdr:row>
          <xdr:rowOff>0</xdr:rowOff>
        </xdr:from>
        <xdr:to>
          <xdr:col>10</xdr:col>
          <xdr:colOff>609600</xdr:colOff>
          <xdr:row>2</xdr:row>
          <xdr:rowOff>106680</xdr:rowOff>
        </xdr:to>
        <xdr:sp macro="" textlink="">
          <xdr:nvSpPr>
            <xdr:cNvPr id="15372" name="CommandButton12" descr="button, click to go back to interventions page" hidden="1">
              <a:extLst>
                <a:ext uri="{63B3BB69-23CF-44E3-9099-C40C66FF867C}">
                  <a14:compatExt spid="_x0000_s1537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838200</xdr:colOff>
          <xdr:row>1</xdr:row>
          <xdr:rowOff>0</xdr:rowOff>
        </xdr:from>
        <xdr:to>
          <xdr:col>7</xdr:col>
          <xdr:colOff>487680</xdr:colOff>
          <xdr:row>2</xdr:row>
          <xdr:rowOff>106680</xdr:rowOff>
        </xdr:to>
        <xdr:sp macro="" textlink="">
          <xdr:nvSpPr>
            <xdr:cNvPr id="15373" name="CommandButton13" descr="Button, click to go to export results page" hidden="1">
              <a:extLst>
                <a:ext uri="{63B3BB69-23CF-44E3-9099-C40C66FF867C}">
                  <a14:compatExt spid="_x0000_s1537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119060</xdr:colOff>
      <xdr:row>0</xdr:row>
      <xdr:rowOff>119060</xdr:rowOff>
    </xdr:from>
    <xdr:to>
      <xdr:col>14</xdr:col>
      <xdr:colOff>571497</xdr:colOff>
      <xdr:row>75</xdr:row>
      <xdr:rowOff>107153</xdr:rowOff>
    </xdr:to>
    <xdr:sp macro="" textlink="">
      <xdr:nvSpPr>
        <xdr:cNvPr id="18" name="Half Frame 17" title="decorative frame"/>
        <xdr:cNvSpPr/>
      </xdr:nvSpPr>
      <xdr:spPr>
        <a:xfrm>
          <a:off x="119060" y="119060"/>
          <a:ext cx="15823406" cy="16323468"/>
        </a:xfrm>
        <a:prstGeom prst="halfFrame">
          <a:avLst>
            <a:gd name="adj1" fmla="val 1282"/>
            <a:gd name="adj2" fmla="val 1393"/>
          </a:avLst>
        </a:prstGeom>
        <a:solidFill>
          <a:srgbClr val="004182"/>
        </a:solidFill>
        <a:ln>
          <a:noFill/>
        </a:ln>
        <a:scene3d>
          <a:camera prst="orthographicFront"/>
          <a:lightRig rig="threePt" dir="t"/>
        </a:scene3d>
        <a:sp3d>
          <a:bevelT w="25400" h="254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xdr:col>
      <xdr:colOff>1023938</xdr:colOff>
      <xdr:row>1</xdr:row>
      <xdr:rowOff>11906</xdr:rowOff>
    </xdr:from>
    <xdr:to>
      <xdr:col>4</xdr:col>
      <xdr:colOff>738188</xdr:colOff>
      <xdr:row>2</xdr:row>
      <xdr:rowOff>142874</xdr:rowOff>
    </xdr:to>
    <xdr:sp macro="" textlink="">
      <xdr:nvSpPr>
        <xdr:cNvPr id="16" name="Rectangle 15">
          <a:hlinkClick xmlns:r="http://schemas.openxmlformats.org/officeDocument/2006/relationships" r:id="rId1"/>
        </xdr:cNvPr>
        <xdr:cNvSpPr/>
      </xdr:nvSpPr>
      <xdr:spPr>
        <a:xfrm>
          <a:off x="8941594" y="392906"/>
          <a:ext cx="1095375" cy="476249"/>
        </a:xfrm>
        <a:prstGeom prst="rect">
          <a:avLst/>
        </a:prstGeom>
        <a:solidFill>
          <a:srgbClr val="004182"/>
        </a:solidFill>
        <a:ln>
          <a:solidFill>
            <a:srgbClr val="00306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200">
              <a:latin typeface="Arial" panose="020B0604020202020204" pitchFamily="34" charset="0"/>
              <a:cs typeface="Arial" panose="020B0604020202020204" pitchFamily="34" charset="0"/>
            </a:rPr>
            <a:t>Click</a:t>
          </a:r>
          <a:r>
            <a:rPr lang="en-US" sz="1200" baseline="0">
              <a:latin typeface="Arial" panose="020B0604020202020204" pitchFamily="34" charset="0"/>
              <a:cs typeface="Arial" panose="020B0604020202020204" pitchFamily="34" charset="0"/>
            </a:rPr>
            <a:t> here to go to manual </a:t>
          </a:r>
          <a:endParaRPr lang="en-US" sz="1200">
            <a:latin typeface="Arial" panose="020B0604020202020204" pitchFamily="34" charset="0"/>
            <a:cs typeface="Arial" panose="020B0604020202020204" pitchFamily="34" charset="0"/>
          </a:endParaRPr>
        </a:p>
      </xdr:txBody>
    </xdr:sp>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99060</xdr:colOff>
          <xdr:row>11</xdr:row>
          <xdr:rowOff>7620</xdr:rowOff>
        </xdr:from>
        <xdr:to>
          <xdr:col>10</xdr:col>
          <xdr:colOff>411480</xdr:colOff>
          <xdr:row>13</xdr:row>
          <xdr:rowOff>99060</xdr:rowOff>
        </xdr:to>
        <xdr:sp macro="" textlink="">
          <xdr:nvSpPr>
            <xdr:cNvPr id="26625" name="CheckBox1" descr="checkbox, check to add comparison model 1 to your results pdf" hidden="1">
              <a:extLst>
                <a:ext uri="{63B3BB69-23CF-44E3-9099-C40C66FF867C}">
                  <a14:compatExt spid="_x0000_s2662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99060</xdr:colOff>
          <xdr:row>14</xdr:row>
          <xdr:rowOff>45720</xdr:rowOff>
        </xdr:from>
        <xdr:to>
          <xdr:col>10</xdr:col>
          <xdr:colOff>464820</xdr:colOff>
          <xdr:row>16</xdr:row>
          <xdr:rowOff>175260</xdr:rowOff>
        </xdr:to>
        <xdr:sp macro="" textlink="">
          <xdr:nvSpPr>
            <xdr:cNvPr id="26626" name="CheckBox2" descr="checkbox, check to add comparison model 2 to your results pdf" hidden="1">
              <a:extLst>
                <a:ext uri="{63B3BB69-23CF-44E3-9099-C40C66FF867C}">
                  <a14:compatExt spid="_x0000_s2662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99060</xdr:colOff>
          <xdr:row>17</xdr:row>
          <xdr:rowOff>137160</xdr:rowOff>
        </xdr:from>
        <xdr:to>
          <xdr:col>10</xdr:col>
          <xdr:colOff>411480</xdr:colOff>
          <xdr:row>20</xdr:row>
          <xdr:rowOff>137160</xdr:rowOff>
        </xdr:to>
        <xdr:sp macro="" textlink="">
          <xdr:nvSpPr>
            <xdr:cNvPr id="26627" name="CheckBox3" descr="checkbox, check to add comparison model 3 to your results pdf" hidden="1">
              <a:extLst>
                <a:ext uri="{63B3BB69-23CF-44E3-9099-C40C66FF867C}">
                  <a14:compatExt spid="_x0000_s2662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99060</xdr:colOff>
          <xdr:row>21</xdr:row>
          <xdr:rowOff>68580</xdr:rowOff>
        </xdr:from>
        <xdr:to>
          <xdr:col>10</xdr:col>
          <xdr:colOff>411480</xdr:colOff>
          <xdr:row>24</xdr:row>
          <xdr:rowOff>60960</xdr:rowOff>
        </xdr:to>
        <xdr:sp macro="" textlink="">
          <xdr:nvSpPr>
            <xdr:cNvPr id="26628" name="CheckBox4" descr="checkbox, check to add comparison model 4 to your results pdf" hidden="1">
              <a:extLst>
                <a:ext uri="{63B3BB69-23CF-44E3-9099-C40C66FF867C}">
                  <a14:compatExt spid="_x0000_s2662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464820</xdr:colOff>
          <xdr:row>25</xdr:row>
          <xdr:rowOff>68580</xdr:rowOff>
        </xdr:from>
        <xdr:to>
          <xdr:col>10</xdr:col>
          <xdr:colOff>22860</xdr:colOff>
          <xdr:row>28</xdr:row>
          <xdr:rowOff>160020</xdr:rowOff>
        </xdr:to>
        <xdr:sp macro="" textlink="">
          <xdr:nvSpPr>
            <xdr:cNvPr id="26630" name="CommandButton1" descr="button, click to export selected comparison models and baseline model to pdf" hidden="1">
              <a:extLst>
                <a:ext uri="{63B3BB69-23CF-44E3-9099-C40C66FF867C}">
                  <a14:compatExt spid="_x0000_s2663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160020</xdr:colOff>
          <xdr:row>2</xdr:row>
          <xdr:rowOff>68580</xdr:rowOff>
        </xdr:from>
        <xdr:to>
          <xdr:col>15</xdr:col>
          <xdr:colOff>525780</xdr:colOff>
          <xdr:row>3</xdr:row>
          <xdr:rowOff>220980</xdr:rowOff>
        </xdr:to>
        <xdr:sp macro="" textlink="">
          <xdr:nvSpPr>
            <xdr:cNvPr id="26631" name="CommandButton2" descr="button, click to go back to the table of contents&#10;" hidden="1">
              <a:extLst>
                <a:ext uri="{63B3BB69-23CF-44E3-9099-C40C66FF867C}">
                  <a14:compatExt spid="_x0000_s2663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139700</xdr:colOff>
      <xdr:row>0</xdr:row>
      <xdr:rowOff>139700</xdr:rowOff>
    </xdr:from>
    <xdr:to>
      <xdr:col>25</xdr:col>
      <xdr:colOff>608806</xdr:colOff>
      <xdr:row>84</xdr:row>
      <xdr:rowOff>92868</xdr:rowOff>
    </xdr:to>
    <xdr:sp macro="" textlink="">
      <xdr:nvSpPr>
        <xdr:cNvPr id="9" name="Half Frame 8" title="decorative frame"/>
        <xdr:cNvSpPr/>
      </xdr:nvSpPr>
      <xdr:spPr>
        <a:xfrm>
          <a:off x="139700" y="139700"/>
          <a:ext cx="15823406" cy="16323468"/>
        </a:xfrm>
        <a:prstGeom prst="halfFrame">
          <a:avLst>
            <a:gd name="adj1" fmla="val 1282"/>
            <a:gd name="adj2" fmla="val 1393"/>
          </a:avLst>
        </a:prstGeom>
        <a:solidFill>
          <a:srgbClr val="004182"/>
        </a:solidFill>
        <a:ln>
          <a:noFill/>
        </a:ln>
        <a:scene3d>
          <a:camera prst="orthographicFront"/>
          <a:lightRig rig="threePt" dir="t"/>
        </a:scene3d>
        <a:sp3d>
          <a:bevelT w="25400" h="254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10</xdr:col>
      <xdr:colOff>71438</xdr:colOff>
      <xdr:row>2</xdr:row>
      <xdr:rowOff>71438</xdr:rowOff>
    </xdr:from>
    <xdr:to>
      <xdr:col>12</xdr:col>
      <xdr:colOff>71438</xdr:colOff>
      <xdr:row>4</xdr:row>
      <xdr:rowOff>59531</xdr:rowOff>
    </xdr:to>
    <xdr:sp macro="" textlink="">
      <xdr:nvSpPr>
        <xdr:cNvPr id="10" name="Rectangle 9">
          <a:hlinkClick xmlns:r="http://schemas.openxmlformats.org/officeDocument/2006/relationships" r:id="rId1"/>
        </xdr:cNvPr>
        <xdr:cNvSpPr/>
      </xdr:nvSpPr>
      <xdr:spPr>
        <a:xfrm>
          <a:off x="6262688" y="452438"/>
          <a:ext cx="1214438" cy="511968"/>
        </a:xfrm>
        <a:prstGeom prst="rect">
          <a:avLst/>
        </a:prstGeom>
        <a:solidFill>
          <a:srgbClr val="004182"/>
        </a:solidFill>
        <a:ln>
          <a:solidFill>
            <a:srgbClr val="00306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200">
              <a:latin typeface="Arial" panose="020B0604020202020204" pitchFamily="34" charset="0"/>
              <a:cs typeface="Arial" panose="020B0604020202020204" pitchFamily="34" charset="0"/>
            </a:rPr>
            <a:t>Click</a:t>
          </a:r>
          <a:r>
            <a:rPr lang="en-US" sz="1200" baseline="0">
              <a:latin typeface="Arial" panose="020B0604020202020204" pitchFamily="34" charset="0"/>
              <a:cs typeface="Arial" panose="020B0604020202020204" pitchFamily="34" charset="0"/>
            </a:rPr>
            <a:t> here to go to manual </a:t>
          </a:r>
          <a:endParaRPr lang="en-US" sz="1200">
            <a:latin typeface="Arial" panose="020B0604020202020204" pitchFamily="34" charset="0"/>
            <a:cs typeface="Arial" panose="020B0604020202020204" pitchFamily="34" charset="0"/>
          </a:endParaRPr>
        </a:p>
      </xdr:txBody>
    </xdr:sp>
    <xdr:clientData/>
  </xdr:twoCellAnchor>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6</xdr:row>
          <xdr:rowOff>236220</xdr:rowOff>
        </xdr:from>
        <xdr:to>
          <xdr:col>3</xdr:col>
          <xdr:colOff>579120</xdr:colOff>
          <xdr:row>11</xdr:row>
          <xdr:rowOff>205740</xdr:rowOff>
        </xdr:to>
        <xdr:sp macro="" textlink="">
          <xdr:nvSpPr>
            <xdr:cNvPr id="38913" name="CheckBox1" descr="Check this box to use the population sizes from the alternative population size calculator in your model" hidden="1">
              <a:extLst>
                <a:ext uri="{63B3BB69-23CF-44E3-9099-C40C66FF867C}">
                  <a14:compatExt spid="_x0000_s3891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60960</xdr:colOff>
          <xdr:row>2</xdr:row>
          <xdr:rowOff>0</xdr:rowOff>
        </xdr:from>
        <xdr:to>
          <xdr:col>18</xdr:col>
          <xdr:colOff>624840</xdr:colOff>
          <xdr:row>3</xdr:row>
          <xdr:rowOff>274320</xdr:rowOff>
        </xdr:to>
        <xdr:sp macro="" textlink="">
          <xdr:nvSpPr>
            <xdr:cNvPr id="38914" name="CommandButton1" descr="button, click to go back to the table of contents&#10;" hidden="1">
              <a:extLst>
                <a:ext uri="{63B3BB69-23CF-44E3-9099-C40C66FF867C}">
                  <a14:compatExt spid="_x0000_s3891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289560</xdr:colOff>
          <xdr:row>21</xdr:row>
          <xdr:rowOff>121920</xdr:rowOff>
        </xdr:from>
        <xdr:to>
          <xdr:col>11</xdr:col>
          <xdr:colOff>594360</xdr:colOff>
          <xdr:row>24</xdr:row>
          <xdr:rowOff>129540</xdr:rowOff>
        </xdr:to>
        <xdr:sp macro="" textlink="">
          <xdr:nvSpPr>
            <xdr:cNvPr id="38915" name="CommandButton2" descr="button, click to set the default values for the total adolescent population size by sex and age&#10;" hidden="1">
              <a:extLst>
                <a:ext uri="{63B3BB69-23CF-44E3-9099-C40C66FF867C}">
                  <a14:compatExt spid="_x0000_s3891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289560</xdr:colOff>
          <xdr:row>40</xdr:row>
          <xdr:rowOff>0</xdr:rowOff>
        </xdr:from>
        <xdr:to>
          <xdr:col>11</xdr:col>
          <xdr:colOff>594360</xdr:colOff>
          <xdr:row>43</xdr:row>
          <xdr:rowOff>7620</xdr:rowOff>
        </xdr:to>
        <xdr:sp macro="" textlink="">
          <xdr:nvSpPr>
            <xdr:cNvPr id="38916" name="CommandButton3" descr="button, click to set the default values for the proportion of adolescents from who have sexually debuted into the three sexual partnering groups by sex and age group" hidden="1">
              <a:extLst>
                <a:ext uri="{63B3BB69-23CF-44E3-9099-C40C66FF867C}">
                  <a14:compatExt spid="_x0000_s3891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137160</xdr:colOff>
          <xdr:row>21</xdr:row>
          <xdr:rowOff>121920</xdr:rowOff>
        </xdr:from>
        <xdr:to>
          <xdr:col>12</xdr:col>
          <xdr:colOff>1356360</xdr:colOff>
          <xdr:row>24</xdr:row>
          <xdr:rowOff>129540</xdr:rowOff>
        </xdr:to>
        <xdr:sp macro="" textlink="">
          <xdr:nvSpPr>
            <xdr:cNvPr id="38919" name="CommandButton6" descr="button, click to clear the current values for the total adolescent population size by sex and age&#10;" hidden="1">
              <a:extLst>
                <a:ext uri="{63B3BB69-23CF-44E3-9099-C40C66FF867C}">
                  <a14:compatExt spid="_x0000_s3891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137160</xdr:colOff>
          <xdr:row>40</xdr:row>
          <xdr:rowOff>0</xdr:rowOff>
        </xdr:from>
        <xdr:to>
          <xdr:col>12</xdr:col>
          <xdr:colOff>1356360</xdr:colOff>
          <xdr:row>43</xdr:row>
          <xdr:rowOff>7620</xdr:rowOff>
        </xdr:to>
        <xdr:sp macro="" textlink="">
          <xdr:nvSpPr>
            <xdr:cNvPr id="38920" name="CommandButton7" descr="button, click to clear the current values for the proportion of adolescents from who have sexually debuted into the three sexual partnering groups by sex and age group" hidden="1">
              <a:extLst>
                <a:ext uri="{63B3BB69-23CF-44E3-9099-C40C66FF867C}">
                  <a14:compatExt spid="_x0000_s3892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152400</xdr:colOff>
          <xdr:row>145</xdr:row>
          <xdr:rowOff>7620</xdr:rowOff>
        </xdr:from>
        <xdr:to>
          <xdr:col>11</xdr:col>
          <xdr:colOff>236220</xdr:colOff>
          <xdr:row>148</xdr:row>
          <xdr:rowOff>121920</xdr:rowOff>
        </xdr:to>
        <xdr:sp macro="" textlink="">
          <xdr:nvSpPr>
            <xdr:cNvPr id="38923" name="CommandButton9" descr="Button, click to set the default values for gonorrhea transmissibility " hidden="1">
              <a:extLst>
                <a:ext uri="{63B3BB69-23CF-44E3-9099-C40C66FF867C}">
                  <a14:compatExt spid="_x0000_s3892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152400</xdr:colOff>
          <xdr:row>157</xdr:row>
          <xdr:rowOff>0</xdr:rowOff>
        </xdr:from>
        <xdr:to>
          <xdr:col>11</xdr:col>
          <xdr:colOff>236220</xdr:colOff>
          <xdr:row>160</xdr:row>
          <xdr:rowOff>114300</xdr:rowOff>
        </xdr:to>
        <xdr:sp macro="" textlink="">
          <xdr:nvSpPr>
            <xdr:cNvPr id="38924" name="CommandButton10" descr="Button, click to set the default values for chlaymida transmissibility " hidden="1">
              <a:extLst>
                <a:ext uri="{63B3BB69-23CF-44E3-9099-C40C66FF867C}">
                  <a14:compatExt spid="_x0000_s3892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152400</xdr:colOff>
          <xdr:row>167</xdr:row>
          <xdr:rowOff>0</xdr:rowOff>
        </xdr:from>
        <xdr:to>
          <xdr:col>11</xdr:col>
          <xdr:colOff>236220</xdr:colOff>
          <xdr:row>170</xdr:row>
          <xdr:rowOff>114300</xdr:rowOff>
        </xdr:to>
        <xdr:sp macro="" textlink="">
          <xdr:nvSpPr>
            <xdr:cNvPr id="38925" name="CommandButton11" descr="Button, click to set values to default for HIV transmissibility " hidden="1">
              <a:extLst>
                <a:ext uri="{63B3BB69-23CF-44E3-9099-C40C66FF867C}">
                  <a14:compatExt spid="_x0000_s3892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563880</xdr:colOff>
          <xdr:row>145</xdr:row>
          <xdr:rowOff>0</xdr:rowOff>
        </xdr:from>
        <xdr:to>
          <xdr:col>13</xdr:col>
          <xdr:colOff>297180</xdr:colOff>
          <xdr:row>148</xdr:row>
          <xdr:rowOff>114300</xdr:rowOff>
        </xdr:to>
        <xdr:sp macro="" textlink="">
          <xdr:nvSpPr>
            <xdr:cNvPr id="38926" name="CommandButton12" descr="Button, click to reset the current values for gonorrhea transmissibility " hidden="1">
              <a:extLst>
                <a:ext uri="{63B3BB69-23CF-44E3-9099-C40C66FF867C}">
                  <a14:compatExt spid="_x0000_s3892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563880</xdr:colOff>
          <xdr:row>157</xdr:row>
          <xdr:rowOff>0</xdr:rowOff>
        </xdr:from>
        <xdr:to>
          <xdr:col>13</xdr:col>
          <xdr:colOff>297180</xdr:colOff>
          <xdr:row>160</xdr:row>
          <xdr:rowOff>114300</xdr:rowOff>
        </xdr:to>
        <xdr:sp macro="" textlink="">
          <xdr:nvSpPr>
            <xdr:cNvPr id="38927" name="CommandButton13" descr="Button, click to reset the current values for chlamydia transmissibility " hidden="1">
              <a:extLst>
                <a:ext uri="{63B3BB69-23CF-44E3-9099-C40C66FF867C}">
                  <a14:compatExt spid="_x0000_s3892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563880</xdr:colOff>
          <xdr:row>167</xdr:row>
          <xdr:rowOff>0</xdr:rowOff>
        </xdr:from>
        <xdr:to>
          <xdr:col>13</xdr:col>
          <xdr:colOff>342900</xdr:colOff>
          <xdr:row>170</xdr:row>
          <xdr:rowOff>114300</xdr:rowOff>
        </xdr:to>
        <xdr:sp macro="" textlink="">
          <xdr:nvSpPr>
            <xdr:cNvPr id="38928" name="CommandButton14" descr="Button, click to reset current values to default for HIV transmissibility " hidden="1">
              <a:extLst>
                <a:ext uri="{63B3BB69-23CF-44E3-9099-C40C66FF867C}">
                  <a14:compatExt spid="_x0000_s3892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175260</xdr:colOff>
          <xdr:row>65</xdr:row>
          <xdr:rowOff>7620</xdr:rowOff>
        </xdr:from>
        <xdr:to>
          <xdr:col>18</xdr:col>
          <xdr:colOff>739140</xdr:colOff>
          <xdr:row>67</xdr:row>
          <xdr:rowOff>15240</xdr:rowOff>
        </xdr:to>
        <xdr:sp macro="" textlink="">
          <xdr:nvSpPr>
            <xdr:cNvPr id="38929" name="CommandButton15" descr="button, click to go back to the table of contents&#10;" hidden="1">
              <a:extLst>
                <a:ext uri="{63B3BB69-23CF-44E3-9099-C40C66FF867C}">
                  <a14:compatExt spid="_x0000_s3892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198120</xdr:colOff>
          <xdr:row>121</xdr:row>
          <xdr:rowOff>121920</xdr:rowOff>
        </xdr:from>
        <xdr:to>
          <xdr:col>18</xdr:col>
          <xdr:colOff>777240</xdr:colOff>
          <xdr:row>123</xdr:row>
          <xdr:rowOff>129540</xdr:rowOff>
        </xdr:to>
        <xdr:sp macro="" textlink="">
          <xdr:nvSpPr>
            <xdr:cNvPr id="38930" name="CommandButton16" descr="button, click to go back to the table of contents&#10;" hidden="1">
              <a:extLst>
                <a:ext uri="{63B3BB69-23CF-44E3-9099-C40C66FF867C}">
                  <a14:compatExt spid="_x0000_s3893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182880</xdr:colOff>
          <xdr:row>193</xdr:row>
          <xdr:rowOff>68580</xdr:rowOff>
        </xdr:from>
        <xdr:to>
          <xdr:col>18</xdr:col>
          <xdr:colOff>762000</xdr:colOff>
          <xdr:row>194</xdr:row>
          <xdr:rowOff>388620</xdr:rowOff>
        </xdr:to>
        <xdr:sp macro="" textlink="">
          <xdr:nvSpPr>
            <xdr:cNvPr id="38935" name="CommandButton21" descr="button, click to go back to the table of contents&#10;" hidden="1">
              <a:extLst>
                <a:ext uri="{63B3BB69-23CF-44E3-9099-C40C66FF867C}">
                  <a14:compatExt spid="_x0000_s389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9525</xdr:colOff>
      <xdr:row>247</xdr:row>
      <xdr:rowOff>50007</xdr:rowOff>
    </xdr:from>
    <xdr:to>
      <xdr:col>5</xdr:col>
      <xdr:colOff>809625</xdr:colOff>
      <xdr:row>248</xdr:row>
      <xdr:rowOff>154782</xdr:rowOff>
    </xdr:to>
    <xdr:sp macro="" textlink="">
      <xdr:nvSpPr>
        <xdr:cNvPr id="37" name="TextBox 36"/>
        <xdr:cNvSpPr txBox="1"/>
      </xdr:nvSpPr>
      <xdr:spPr>
        <a:xfrm>
          <a:off x="1914525" y="49818132"/>
          <a:ext cx="2014538" cy="295275"/>
        </a:xfrm>
        <a:prstGeom prst="rect">
          <a:avLst/>
        </a:prstGeom>
        <a:solidFill>
          <a:schemeClr val="bg1">
            <a:lumMod val="85000"/>
          </a:schemeClr>
        </a:solidFill>
        <a:ln w="9525" cmpd="sng">
          <a:solidFill>
            <a:schemeClr val="lt1">
              <a:shade val="50000"/>
            </a:schemeClr>
          </a:solidFill>
        </a:ln>
        <a:scene3d>
          <a:camera prst="orthographicFront"/>
          <a:lightRig rig="threePt" dir="t"/>
        </a:scene3d>
        <a:sp3d prstMaterial="matte">
          <a:bevelT w="6350" h="635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b="1">
              <a:latin typeface="Arial" panose="020B0604020202020204" pitchFamily="34" charset="0"/>
              <a:cs typeface="Arial" panose="020B0604020202020204" pitchFamily="34" charset="0"/>
            </a:rPr>
            <a:t>Chlamydia</a:t>
          </a:r>
          <a:r>
            <a:rPr lang="en-US" sz="1200" b="1" baseline="0">
              <a:latin typeface="Arial" panose="020B0604020202020204" pitchFamily="34" charset="0"/>
              <a:cs typeface="Arial" panose="020B0604020202020204" pitchFamily="34" charset="0"/>
            </a:rPr>
            <a:t> trachomatis</a:t>
          </a:r>
          <a:endParaRPr lang="en-US" sz="1200" b="1">
            <a:latin typeface="Arial" panose="020B0604020202020204" pitchFamily="34" charset="0"/>
            <a:cs typeface="Arial" panose="020B0604020202020204" pitchFamily="34" charset="0"/>
          </a:endParaRPr>
        </a:p>
      </xdr:txBody>
    </xdr:sp>
    <xdr:clientData/>
  </xdr:twoCellAnchor>
  <mc:AlternateContent xmlns:mc="http://schemas.openxmlformats.org/markup-compatibility/2006">
    <mc:Choice xmlns:a14="http://schemas.microsoft.com/office/drawing/2010/main" Requires="a14">
      <xdr:twoCellAnchor editAs="oneCell">
        <xdr:from>
          <xdr:col>3</xdr:col>
          <xdr:colOff>563880</xdr:colOff>
          <xdr:row>256</xdr:row>
          <xdr:rowOff>38100</xdr:rowOff>
        </xdr:from>
        <xdr:to>
          <xdr:col>5</xdr:col>
          <xdr:colOff>1325880</xdr:colOff>
          <xdr:row>259</xdr:row>
          <xdr:rowOff>106680</xdr:rowOff>
        </xdr:to>
        <xdr:sp macro="" textlink="">
          <xdr:nvSpPr>
            <xdr:cNvPr id="38936" name="CommandButton22" descr="Button, click to use default values for the proportion of incident chlamydia cases that get diagnosed among females and males" hidden="1">
              <a:extLst>
                <a:ext uri="{63B3BB69-23CF-44E3-9099-C40C66FF867C}">
                  <a14:compatExt spid="_x0000_s3893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144780</xdr:colOff>
          <xdr:row>256</xdr:row>
          <xdr:rowOff>38100</xdr:rowOff>
        </xdr:from>
        <xdr:to>
          <xdr:col>8</xdr:col>
          <xdr:colOff>144780</xdr:colOff>
          <xdr:row>259</xdr:row>
          <xdr:rowOff>106680</xdr:rowOff>
        </xdr:to>
        <xdr:sp macro="" textlink="">
          <xdr:nvSpPr>
            <xdr:cNvPr id="38937" name="CommandButton23" descr="Button, click to reset the current values for the proportion of incident chlamydia cases that get diagnosed among females and males" hidden="1">
              <a:extLst>
                <a:ext uri="{63B3BB69-23CF-44E3-9099-C40C66FF867C}">
                  <a14:compatExt spid="_x0000_s3893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563880</xdr:colOff>
          <xdr:row>269</xdr:row>
          <xdr:rowOff>144780</xdr:rowOff>
        </xdr:from>
        <xdr:to>
          <xdr:col>5</xdr:col>
          <xdr:colOff>1325880</xdr:colOff>
          <xdr:row>273</xdr:row>
          <xdr:rowOff>83820</xdr:rowOff>
        </xdr:to>
        <xdr:sp macro="" textlink="">
          <xdr:nvSpPr>
            <xdr:cNvPr id="38938" name="CommandButton24" descr="Button, click to use default values for the proportion of incident chlamydia cases that get diagnosed among females and males" hidden="1">
              <a:extLst>
                <a:ext uri="{63B3BB69-23CF-44E3-9099-C40C66FF867C}">
                  <a14:compatExt spid="_x0000_s389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144780</xdr:colOff>
          <xdr:row>269</xdr:row>
          <xdr:rowOff>144780</xdr:rowOff>
        </xdr:from>
        <xdr:to>
          <xdr:col>8</xdr:col>
          <xdr:colOff>144780</xdr:colOff>
          <xdr:row>273</xdr:row>
          <xdr:rowOff>83820</xdr:rowOff>
        </xdr:to>
        <xdr:sp macro="" textlink="">
          <xdr:nvSpPr>
            <xdr:cNvPr id="38939" name="CommandButton25" descr="Button, click to reset the current values for the proportion of incident chlamydia cases that get diagnosed among females and males" hidden="1">
              <a:extLst>
                <a:ext uri="{63B3BB69-23CF-44E3-9099-C40C66FF867C}">
                  <a14:compatExt spid="_x0000_s3893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563880</xdr:colOff>
          <xdr:row>227</xdr:row>
          <xdr:rowOff>38100</xdr:rowOff>
        </xdr:from>
        <xdr:to>
          <xdr:col>5</xdr:col>
          <xdr:colOff>1325880</xdr:colOff>
          <xdr:row>230</xdr:row>
          <xdr:rowOff>137160</xdr:rowOff>
        </xdr:to>
        <xdr:sp macro="" textlink="">
          <xdr:nvSpPr>
            <xdr:cNvPr id="38940" name="CommandButton26" descr="Button, click to use default values for the proportion of incident cases that get diagnosed for gonorrhea among females and males" hidden="1">
              <a:extLst>
                <a:ext uri="{63B3BB69-23CF-44E3-9099-C40C66FF867C}">
                  <a14:compatExt spid="_x0000_s3894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144780</xdr:colOff>
          <xdr:row>227</xdr:row>
          <xdr:rowOff>38100</xdr:rowOff>
        </xdr:from>
        <xdr:to>
          <xdr:col>8</xdr:col>
          <xdr:colOff>144780</xdr:colOff>
          <xdr:row>230</xdr:row>
          <xdr:rowOff>137160</xdr:rowOff>
        </xdr:to>
        <xdr:sp macro="" textlink="">
          <xdr:nvSpPr>
            <xdr:cNvPr id="38941" name="CommandButton27" descr="Button, click to reset current values for the proportion of incident cases that get diagnosed for gonorrhea among females and males" hidden="1">
              <a:extLst>
                <a:ext uri="{63B3BB69-23CF-44E3-9099-C40C66FF867C}">
                  <a14:compatExt spid="_x0000_s389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563880</xdr:colOff>
          <xdr:row>240</xdr:row>
          <xdr:rowOff>144780</xdr:rowOff>
        </xdr:from>
        <xdr:to>
          <xdr:col>5</xdr:col>
          <xdr:colOff>1325880</xdr:colOff>
          <xdr:row>244</xdr:row>
          <xdr:rowOff>83820</xdr:rowOff>
        </xdr:to>
        <xdr:sp macro="" textlink="">
          <xdr:nvSpPr>
            <xdr:cNvPr id="38942" name="CommandButton28" descr="Button, click to use default values the average duration of infection for gonorrhea in years among females and males" hidden="1">
              <a:extLst>
                <a:ext uri="{63B3BB69-23CF-44E3-9099-C40C66FF867C}">
                  <a14:compatExt spid="_x0000_s389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144780</xdr:colOff>
          <xdr:row>240</xdr:row>
          <xdr:rowOff>144780</xdr:rowOff>
        </xdr:from>
        <xdr:to>
          <xdr:col>8</xdr:col>
          <xdr:colOff>144780</xdr:colOff>
          <xdr:row>244</xdr:row>
          <xdr:rowOff>83820</xdr:rowOff>
        </xdr:to>
        <xdr:sp macro="" textlink="">
          <xdr:nvSpPr>
            <xdr:cNvPr id="38943" name="CommandButton29" descr="Button, click to reset the current values the average duration of infection for gonorrhea in years among females and males" hidden="1">
              <a:extLst>
                <a:ext uri="{63B3BB69-23CF-44E3-9099-C40C66FF867C}">
                  <a14:compatExt spid="_x0000_s3894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9525</xdr:colOff>
      <xdr:row>277</xdr:row>
      <xdr:rowOff>50007</xdr:rowOff>
    </xdr:from>
    <xdr:to>
      <xdr:col>5</xdr:col>
      <xdr:colOff>809625</xdr:colOff>
      <xdr:row>278</xdr:row>
      <xdr:rowOff>154782</xdr:rowOff>
    </xdr:to>
    <xdr:sp macro="" textlink="">
      <xdr:nvSpPr>
        <xdr:cNvPr id="46" name="TextBox 45"/>
        <xdr:cNvSpPr txBox="1"/>
      </xdr:nvSpPr>
      <xdr:spPr>
        <a:xfrm>
          <a:off x="1914525" y="55556945"/>
          <a:ext cx="2014538" cy="295275"/>
        </a:xfrm>
        <a:prstGeom prst="rect">
          <a:avLst/>
        </a:prstGeom>
        <a:solidFill>
          <a:schemeClr val="bg1">
            <a:lumMod val="85000"/>
          </a:schemeClr>
        </a:solidFill>
        <a:ln w="9525" cmpd="sng">
          <a:solidFill>
            <a:schemeClr val="lt1">
              <a:shade val="50000"/>
            </a:schemeClr>
          </a:solidFill>
        </a:ln>
        <a:scene3d>
          <a:camera prst="orthographicFront"/>
          <a:lightRig rig="threePt" dir="t"/>
        </a:scene3d>
        <a:sp3d prstMaterial="matte">
          <a:bevelT w="6350" h="635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b="1" i="0" u="none" strike="noStrike">
              <a:solidFill>
                <a:schemeClr val="dk1"/>
              </a:solidFill>
              <a:effectLst/>
              <a:latin typeface="Arial" panose="020B0604020202020204" pitchFamily="34" charset="0"/>
              <a:ea typeface="+mn-ea"/>
              <a:cs typeface="Arial" panose="020B0604020202020204" pitchFamily="34" charset="0"/>
            </a:rPr>
            <a:t>HIV</a:t>
          </a:r>
          <a:endParaRPr lang="en-US" sz="1200" b="1">
            <a:latin typeface="Arial" panose="020B0604020202020204" pitchFamily="34" charset="0"/>
            <a:cs typeface="Arial" panose="020B0604020202020204" pitchFamily="34" charset="0"/>
          </a:endParaRPr>
        </a:p>
      </xdr:txBody>
    </xdr:sp>
    <xdr:clientData/>
  </xdr:twoCellAnchor>
  <mc:AlternateContent xmlns:mc="http://schemas.openxmlformats.org/markup-compatibility/2006">
    <mc:Choice xmlns:a14="http://schemas.microsoft.com/office/drawing/2010/main" Requires="a14">
      <xdr:twoCellAnchor editAs="oneCell">
        <xdr:from>
          <xdr:col>0</xdr:col>
          <xdr:colOff>525780</xdr:colOff>
          <xdr:row>70</xdr:row>
          <xdr:rowOff>22860</xdr:rowOff>
        </xdr:from>
        <xdr:to>
          <xdr:col>4</xdr:col>
          <xdr:colOff>114300</xdr:colOff>
          <xdr:row>73</xdr:row>
          <xdr:rowOff>190500</xdr:rowOff>
        </xdr:to>
        <xdr:sp macro="" textlink="">
          <xdr:nvSpPr>
            <xdr:cNvPr id="38944" name="CheckBox2" descr="Check this box to use the partner data from this calculator in your model" hidden="1">
              <a:extLst>
                <a:ext uri="{63B3BB69-23CF-44E3-9099-C40C66FF867C}">
                  <a14:compatExt spid="_x0000_s3894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289560</xdr:colOff>
          <xdr:row>112</xdr:row>
          <xdr:rowOff>0</xdr:rowOff>
        </xdr:from>
        <xdr:to>
          <xdr:col>17</xdr:col>
          <xdr:colOff>167640</xdr:colOff>
          <xdr:row>113</xdr:row>
          <xdr:rowOff>76200</xdr:rowOff>
        </xdr:to>
        <xdr:sp macro="" textlink="">
          <xdr:nvSpPr>
            <xdr:cNvPr id="38945" name="CommandButton8" descr="button, click to set default value for the proportion of MSM's partners that are female&#10;" hidden="1">
              <a:extLst>
                <a:ext uri="{63B3BB69-23CF-44E3-9099-C40C66FF867C}">
                  <a14:compatExt spid="_x0000_s3894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327660</xdr:colOff>
          <xdr:row>112</xdr:row>
          <xdr:rowOff>0</xdr:rowOff>
        </xdr:from>
        <xdr:to>
          <xdr:col>18</xdr:col>
          <xdr:colOff>922020</xdr:colOff>
          <xdr:row>113</xdr:row>
          <xdr:rowOff>76200</xdr:rowOff>
        </xdr:to>
        <xdr:sp macro="" textlink="">
          <xdr:nvSpPr>
            <xdr:cNvPr id="38946" name="CommandButton4" descr="button, click to reset the current value for the proportion of MSM's partners that are female&#10;" hidden="1">
              <a:extLst>
                <a:ext uri="{63B3BB69-23CF-44E3-9099-C40C66FF867C}">
                  <a14:compatExt spid="_x0000_s3894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289560</xdr:colOff>
          <xdr:row>30</xdr:row>
          <xdr:rowOff>76200</xdr:rowOff>
        </xdr:from>
        <xdr:to>
          <xdr:col>11</xdr:col>
          <xdr:colOff>594360</xdr:colOff>
          <xdr:row>33</xdr:row>
          <xdr:rowOff>83820</xdr:rowOff>
        </xdr:to>
        <xdr:sp macro="" textlink="">
          <xdr:nvSpPr>
            <xdr:cNvPr id="38947" name="CommandButton5" descr="button, click to set the default values for the proportion of adolescents from step 1 that attend high school by sex and age group" hidden="1">
              <a:extLst>
                <a:ext uri="{63B3BB69-23CF-44E3-9099-C40C66FF867C}">
                  <a14:compatExt spid="_x0000_s3894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137160</xdr:colOff>
          <xdr:row>30</xdr:row>
          <xdr:rowOff>76200</xdr:rowOff>
        </xdr:from>
        <xdr:to>
          <xdr:col>12</xdr:col>
          <xdr:colOff>1356360</xdr:colOff>
          <xdr:row>33</xdr:row>
          <xdr:rowOff>83820</xdr:rowOff>
        </xdr:to>
        <xdr:sp macro="" textlink="">
          <xdr:nvSpPr>
            <xdr:cNvPr id="38948" name="CommandButton17" descr="button, click to reset the current values for the proportion of adolescents from step 1 that attend high school by sex and age group" hidden="1">
              <a:extLst>
                <a:ext uri="{63B3BB69-23CF-44E3-9099-C40C66FF867C}">
                  <a14:compatExt spid="_x0000_s3894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449580</xdr:colOff>
          <xdr:row>281</xdr:row>
          <xdr:rowOff>152400</xdr:rowOff>
        </xdr:from>
        <xdr:to>
          <xdr:col>10</xdr:col>
          <xdr:colOff>121920</xdr:colOff>
          <xdr:row>283</xdr:row>
          <xdr:rowOff>160020</xdr:rowOff>
        </xdr:to>
        <xdr:sp macro="" textlink="">
          <xdr:nvSpPr>
            <xdr:cNvPr id="38949" name="CommandButton18" descr="Button, click to use the default value for the proportion of adolescent MSM living with HIV are aware of their status. " hidden="1">
              <a:extLst>
                <a:ext uri="{63B3BB69-23CF-44E3-9099-C40C66FF867C}">
                  <a14:compatExt spid="_x0000_s389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312420</xdr:colOff>
          <xdr:row>281</xdr:row>
          <xdr:rowOff>152400</xdr:rowOff>
        </xdr:from>
        <xdr:to>
          <xdr:col>12</xdr:col>
          <xdr:colOff>175260</xdr:colOff>
          <xdr:row>283</xdr:row>
          <xdr:rowOff>160020</xdr:rowOff>
        </xdr:to>
        <xdr:sp macro="" textlink="">
          <xdr:nvSpPr>
            <xdr:cNvPr id="38950" name="CommandButton19" descr="Button, click to reset the current value for the proportion of adolescent MSM living with HIV are aware of their status. " hidden="1">
              <a:extLst>
                <a:ext uri="{63B3BB69-23CF-44E3-9099-C40C66FF867C}">
                  <a14:compatExt spid="_x0000_s3895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130968</xdr:colOff>
      <xdr:row>0</xdr:row>
      <xdr:rowOff>119062</xdr:rowOff>
    </xdr:from>
    <xdr:to>
      <xdr:col>19</xdr:col>
      <xdr:colOff>285749</xdr:colOff>
      <xdr:row>83</xdr:row>
      <xdr:rowOff>178592</xdr:rowOff>
    </xdr:to>
    <xdr:sp macro="" textlink="">
      <xdr:nvSpPr>
        <xdr:cNvPr id="48" name="Half Frame 47" title="decorative frame"/>
        <xdr:cNvSpPr/>
      </xdr:nvSpPr>
      <xdr:spPr>
        <a:xfrm>
          <a:off x="130968" y="119062"/>
          <a:ext cx="15823406" cy="16323468"/>
        </a:xfrm>
        <a:prstGeom prst="halfFrame">
          <a:avLst>
            <a:gd name="adj1" fmla="val 1282"/>
            <a:gd name="adj2" fmla="val 1393"/>
          </a:avLst>
        </a:prstGeom>
        <a:solidFill>
          <a:srgbClr val="004182"/>
        </a:solidFill>
        <a:ln>
          <a:noFill/>
        </a:ln>
        <a:scene3d>
          <a:camera prst="orthographicFront"/>
          <a:lightRig rig="threePt" dir="t"/>
        </a:scene3d>
        <a:sp3d>
          <a:bevelT w="25400" h="254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0</xdr:col>
      <xdr:colOff>130968</xdr:colOff>
      <xdr:row>63</xdr:row>
      <xdr:rowOff>119063</xdr:rowOff>
    </xdr:from>
    <xdr:to>
      <xdr:col>19</xdr:col>
      <xdr:colOff>285749</xdr:colOff>
      <xdr:row>137</xdr:row>
      <xdr:rowOff>178594</xdr:rowOff>
    </xdr:to>
    <xdr:sp macro="" textlink="">
      <xdr:nvSpPr>
        <xdr:cNvPr id="49" name="Half Frame 48" title="decorative frame"/>
        <xdr:cNvSpPr/>
      </xdr:nvSpPr>
      <xdr:spPr>
        <a:xfrm>
          <a:off x="130968" y="12382501"/>
          <a:ext cx="15823406" cy="16323468"/>
        </a:xfrm>
        <a:prstGeom prst="halfFrame">
          <a:avLst>
            <a:gd name="adj1" fmla="val 1282"/>
            <a:gd name="adj2" fmla="val 1393"/>
          </a:avLst>
        </a:prstGeom>
        <a:solidFill>
          <a:srgbClr val="004182"/>
        </a:solidFill>
        <a:ln>
          <a:noFill/>
        </a:ln>
        <a:scene3d>
          <a:camera prst="orthographicFront"/>
          <a:lightRig rig="threePt" dir="t"/>
        </a:scene3d>
        <a:sp3d>
          <a:bevelT w="25400" h="254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0</xdr:col>
      <xdr:colOff>130968</xdr:colOff>
      <xdr:row>120</xdr:row>
      <xdr:rowOff>35719</xdr:rowOff>
    </xdr:from>
    <xdr:to>
      <xdr:col>19</xdr:col>
      <xdr:colOff>285749</xdr:colOff>
      <xdr:row>194</xdr:row>
      <xdr:rowOff>297656</xdr:rowOff>
    </xdr:to>
    <xdr:sp macro="" textlink="">
      <xdr:nvSpPr>
        <xdr:cNvPr id="50" name="Half Frame 49" title="decorative frame"/>
        <xdr:cNvSpPr/>
      </xdr:nvSpPr>
      <xdr:spPr>
        <a:xfrm>
          <a:off x="130968" y="23467219"/>
          <a:ext cx="15823406" cy="16323468"/>
        </a:xfrm>
        <a:prstGeom prst="halfFrame">
          <a:avLst>
            <a:gd name="adj1" fmla="val 1282"/>
            <a:gd name="adj2" fmla="val 1393"/>
          </a:avLst>
        </a:prstGeom>
        <a:solidFill>
          <a:srgbClr val="004182"/>
        </a:solidFill>
        <a:ln>
          <a:noFill/>
        </a:ln>
        <a:scene3d>
          <a:camera prst="orthographicFront"/>
          <a:lightRig rig="threePt" dir="t"/>
        </a:scene3d>
        <a:sp3d>
          <a:bevelT w="25400" h="254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0</xdr:col>
      <xdr:colOff>130968</xdr:colOff>
      <xdr:row>191</xdr:row>
      <xdr:rowOff>166688</xdr:rowOff>
    </xdr:from>
    <xdr:to>
      <xdr:col>19</xdr:col>
      <xdr:colOff>285749</xdr:colOff>
      <xdr:row>276</xdr:row>
      <xdr:rowOff>95249</xdr:rowOff>
    </xdr:to>
    <xdr:sp macro="" textlink="">
      <xdr:nvSpPr>
        <xdr:cNvPr id="51" name="Half Frame 50" title="decorative frame"/>
        <xdr:cNvSpPr/>
      </xdr:nvSpPr>
      <xdr:spPr>
        <a:xfrm>
          <a:off x="130968" y="35713988"/>
          <a:ext cx="16337756" cy="14939961"/>
        </a:xfrm>
        <a:prstGeom prst="halfFrame">
          <a:avLst>
            <a:gd name="adj1" fmla="val 1282"/>
            <a:gd name="adj2" fmla="val 1393"/>
          </a:avLst>
        </a:prstGeom>
        <a:solidFill>
          <a:srgbClr val="004182"/>
        </a:solidFill>
        <a:ln>
          <a:noFill/>
        </a:ln>
        <a:scene3d>
          <a:camera prst="orthographicFront"/>
          <a:lightRig rig="threePt" dir="t"/>
        </a:scene3d>
        <a:sp3d>
          <a:bevelT w="25400" h="254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mc:AlternateContent xmlns:mc="http://schemas.openxmlformats.org/markup-compatibility/2006">
    <mc:Choice xmlns:a14="http://schemas.microsoft.com/office/drawing/2010/main" Requires="a14">
      <xdr:twoCellAnchor editAs="oneCell">
        <xdr:from>
          <xdr:col>8</xdr:col>
          <xdr:colOff>449580</xdr:colOff>
          <xdr:row>286</xdr:row>
          <xdr:rowOff>144780</xdr:rowOff>
        </xdr:from>
        <xdr:to>
          <xdr:col>10</xdr:col>
          <xdr:colOff>121920</xdr:colOff>
          <xdr:row>288</xdr:row>
          <xdr:rowOff>152400</xdr:rowOff>
        </xdr:to>
        <xdr:sp macro="" textlink="">
          <xdr:nvSpPr>
            <xdr:cNvPr id="38951" name="CommandButton20" descr="Button, click to use default value for the ratio between prevalence and incidence of diagnosed HIV infection among adolescent MSM" hidden="1">
              <a:extLst>
                <a:ext uri="{63B3BB69-23CF-44E3-9099-C40C66FF867C}">
                  <a14:compatExt spid="_x0000_s3895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304800</xdr:colOff>
          <xdr:row>286</xdr:row>
          <xdr:rowOff>144780</xdr:rowOff>
        </xdr:from>
        <xdr:to>
          <xdr:col>12</xdr:col>
          <xdr:colOff>175260</xdr:colOff>
          <xdr:row>288</xdr:row>
          <xdr:rowOff>152400</xdr:rowOff>
        </xdr:to>
        <xdr:sp macro="" textlink="">
          <xdr:nvSpPr>
            <xdr:cNvPr id="38952" name="CommandButton30" descr="Button, click to reset the current value  for the ratio between prevalence and incidence of diagnosed HIV infection among adolescent MSM" hidden="1">
              <a:extLst>
                <a:ext uri="{63B3BB69-23CF-44E3-9099-C40C66FF867C}">
                  <a14:compatExt spid="_x0000_s3895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12</xdr:col>
      <xdr:colOff>421481</xdr:colOff>
      <xdr:row>8</xdr:row>
      <xdr:rowOff>154781</xdr:rowOff>
    </xdr:from>
    <xdr:to>
      <xdr:col>14</xdr:col>
      <xdr:colOff>183356</xdr:colOff>
      <xdr:row>10</xdr:row>
      <xdr:rowOff>23812</xdr:rowOff>
    </xdr:to>
    <xdr:sp macro="" textlink="">
      <xdr:nvSpPr>
        <xdr:cNvPr id="40" name="Rectangle 39">
          <a:hlinkClick xmlns:r="http://schemas.openxmlformats.org/officeDocument/2006/relationships" r:id="rId1"/>
        </xdr:cNvPr>
        <xdr:cNvSpPr/>
      </xdr:nvSpPr>
      <xdr:spPr>
        <a:xfrm>
          <a:off x="9889331" y="1916906"/>
          <a:ext cx="2000250" cy="269081"/>
        </a:xfrm>
        <a:prstGeom prst="rect">
          <a:avLst/>
        </a:prstGeom>
        <a:solidFill>
          <a:srgbClr val="004182"/>
        </a:solidFill>
        <a:ln>
          <a:solidFill>
            <a:srgbClr val="00306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200">
              <a:latin typeface="Arial" panose="020B0604020202020204" pitchFamily="34" charset="0"/>
              <a:cs typeface="Arial" panose="020B0604020202020204" pitchFamily="34" charset="0"/>
            </a:rPr>
            <a:t>Click</a:t>
          </a:r>
          <a:r>
            <a:rPr lang="en-US" sz="1200" baseline="0">
              <a:latin typeface="Arial" panose="020B0604020202020204" pitchFamily="34" charset="0"/>
              <a:cs typeface="Arial" panose="020B0604020202020204" pitchFamily="34" charset="0"/>
            </a:rPr>
            <a:t> here to go to manual</a:t>
          </a:r>
        </a:p>
        <a:p>
          <a:pPr algn="l"/>
          <a:endParaRPr lang="en-US" sz="1200">
            <a:latin typeface="Arial" panose="020B0604020202020204" pitchFamily="34" charset="0"/>
            <a:cs typeface="Arial" panose="020B0604020202020204" pitchFamily="34" charset="0"/>
          </a:endParaRPr>
        </a:p>
      </xdr:txBody>
    </xdr:sp>
    <xdr:clientData/>
  </xdr:twoCellAnchor>
  <xdr:twoCellAnchor>
    <xdr:from>
      <xdr:col>11</xdr:col>
      <xdr:colOff>371474</xdr:colOff>
      <xdr:row>73</xdr:row>
      <xdr:rowOff>28576</xdr:rowOff>
    </xdr:from>
    <xdr:to>
      <xdr:col>13</xdr:col>
      <xdr:colOff>335756</xdr:colOff>
      <xdr:row>74</xdr:row>
      <xdr:rowOff>64294</xdr:rowOff>
    </xdr:to>
    <xdr:sp macro="" textlink="">
      <xdr:nvSpPr>
        <xdr:cNvPr id="41" name="Rectangle 40">
          <a:hlinkClick xmlns:r="http://schemas.openxmlformats.org/officeDocument/2006/relationships" r:id="rId2"/>
        </xdr:cNvPr>
        <xdr:cNvSpPr/>
      </xdr:nvSpPr>
      <xdr:spPr>
        <a:xfrm>
          <a:off x="9191624" y="14763751"/>
          <a:ext cx="1964532" cy="245268"/>
        </a:xfrm>
        <a:prstGeom prst="rect">
          <a:avLst/>
        </a:prstGeom>
        <a:solidFill>
          <a:srgbClr val="004182"/>
        </a:solidFill>
        <a:ln>
          <a:solidFill>
            <a:srgbClr val="00306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200">
              <a:latin typeface="Arial" panose="020B0604020202020204" pitchFamily="34" charset="0"/>
              <a:cs typeface="Arial" panose="020B0604020202020204" pitchFamily="34" charset="0"/>
            </a:rPr>
            <a:t>Click</a:t>
          </a:r>
          <a:r>
            <a:rPr lang="en-US" sz="1200" baseline="0">
              <a:latin typeface="Arial" panose="020B0604020202020204" pitchFamily="34" charset="0"/>
              <a:cs typeface="Arial" panose="020B0604020202020204" pitchFamily="34" charset="0"/>
            </a:rPr>
            <a:t> here to go to manual</a:t>
          </a:r>
        </a:p>
        <a:p>
          <a:pPr algn="l"/>
          <a:endParaRPr lang="en-US" sz="1200">
            <a:latin typeface="Arial" panose="020B0604020202020204" pitchFamily="34" charset="0"/>
            <a:cs typeface="Arial" panose="020B0604020202020204" pitchFamily="34" charset="0"/>
          </a:endParaRPr>
        </a:p>
      </xdr:txBody>
    </xdr:sp>
    <xdr:clientData/>
  </xdr:twoCellAnchor>
  <xdr:twoCellAnchor>
    <xdr:from>
      <xdr:col>14</xdr:col>
      <xdr:colOff>714375</xdr:colOff>
      <xdr:row>133</xdr:row>
      <xdr:rowOff>0</xdr:rowOff>
    </xdr:from>
    <xdr:to>
      <xdr:col>16</xdr:col>
      <xdr:colOff>285750</xdr:colOff>
      <xdr:row>133</xdr:row>
      <xdr:rowOff>476249</xdr:rowOff>
    </xdr:to>
    <xdr:sp macro="" textlink="">
      <xdr:nvSpPr>
        <xdr:cNvPr id="42" name="Rectangle 41">
          <a:hlinkClick xmlns:r="http://schemas.openxmlformats.org/officeDocument/2006/relationships" r:id="rId3"/>
        </xdr:cNvPr>
        <xdr:cNvSpPr/>
      </xdr:nvSpPr>
      <xdr:spPr>
        <a:xfrm>
          <a:off x="12382500" y="28074938"/>
          <a:ext cx="1095375" cy="476249"/>
        </a:xfrm>
        <a:prstGeom prst="rect">
          <a:avLst/>
        </a:prstGeom>
        <a:solidFill>
          <a:srgbClr val="004182"/>
        </a:solidFill>
        <a:ln>
          <a:solidFill>
            <a:srgbClr val="00306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200">
              <a:latin typeface="Arial" panose="020B0604020202020204" pitchFamily="34" charset="0"/>
              <a:cs typeface="Arial" panose="020B0604020202020204" pitchFamily="34" charset="0"/>
            </a:rPr>
            <a:t>Click</a:t>
          </a:r>
          <a:r>
            <a:rPr lang="en-US" sz="1200" baseline="0">
              <a:latin typeface="Arial" panose="020B0604020202020204" pitchFamily="34" charset="0"/>
              <a:cs typeface="Arial" panose="020B0604020202020204" pitchFamily="34" charset="0"/>
            </a:rPr>
            <a:t> here to go to manual </a:t>
          </a:r>
          <a:endParaRPr lang="en-US" sz="1200">
            <a:latin typeface="Arial" panose="020B0604020202020204" pitchFamily="34" charset="0"/>
            <a:cs typeface="Arial" panose="020B0604020202020204" pitchFamily="34" charset="0"/>
          </a:endParaRPr>
        </a:p>
      </xdr:txBody>
    </xdr:sp>
    <xdr:clientData/>
  </xdr:twoCellAnchor>
  <xdr:twoCellAnchor>
    <xdr:from>
      <xdr:col>12</xdr:col>
      <xdr:colOff>1209674</xdr:colOff>
      <xdr:row>212</xdr:row>
      <xdr:rowOff>142877</xdr:rowOff>
    </xdr:from>
    <xdr:to>
      <xdr:col>15</xdr:col>
      <xdr:colOff>83343</xdr:colOff>
      <xdr:row>214</xdr:row>
      <xdr:rowOff>11906</xdr:rowOff>
    </xdr:to>
    <xdr:sp macro="" textlink="">
      <xdr:nvSpPr>
        <xdr:cNvPr id="43" name="Rectangle 42">
          <a:hlinkClick xmlns:r="http://schemas.openxmlformats.org/officeDocument/2006/relationships" r:id="rId4"/>
        </xdr:cNvPr>
        <xdr:cNvSpPr/>
      </xdr:nvSpPr>
      <xdr:spPr>
        <a:xfrm>
          <a:off x="10677524" y="44481752"/>
          <a:ext cx="1997869" cy="269079"/>
        </a:xfrm>
        <a:prstGeom prst="rect">
          <a:avLst/>
        </a:prstGeom>
        <a:solidFill>
          <a:srgbClr val="004182"/>
        </a:solidFill>
        <a:ln>
          <a:solidFill>
            <a:srgbClr val="00306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200">
              <a:latin typeface="Arial" panose="020B0604020202020204" pitchFamily="34" charset="0"/>
              <a:cs typeface="Arial" panose="020B0604020202020204" pitchFamily="34" charset="0"/>
            </a:rPr>
            <a:t>Click</a:t>
          </a:r>
          <a:r>
            <a:rPr lang="en-US" sz="1200" baseline="0">
              <a:latin typeface="Arial" panose="020B0604020202020204" pitchFamily="34" charset="0"/>
              <a:cs typeface="Arial" panose="020B0604020202020204" pitchFamily="34" charset="0"/>
            </a:rPr>
            <a:t> here to go to manual</a:t>
          </a:r>
        </a:p>
        <a:p>
          <a:pPr algn="l"/>
          <a:endParaRPr lang="en-US" sz="1200">
            <a:latin typeface="Arial" panose="020B0604020202020204" pitchFamily="34" charset="0"/>
            <a:cs typeface="Arial" panose="020B0604020202020204" pitchFamily="34" charset="0"/>
          </a:endParaRPr>
        </a:p>
      </xdr:txBody>
    </xdr:sp>
    <xdr:clientData/>
  </xdr:twoCellAnchor>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190500</xdr:colOff>
          <xdr:row>22</xdr:row>
          <xdr:rowOff>38100</xdr:rowOff>
        </xdr:from>
        <xdr:to>
          <xdr:col>5</xdr:col>
          <xdr:colOff>152400</xdr:colOff>
          <xdr:row>25</xdr:row>
          <xdr:rowOff>22860</xdr:rowOff>
        </xdr:to>
        <xdr:sp macro="" textlink="">
          <xdr:nvSpPr>
            <xdr:cNvPr id="18434" name="CommandButton2" hidden="1">
              <a:extLst>
                <a:ext uri="{63B3BB69-23CF-44E3-9099-C40C66FF867C}">
                  <a14:compatExt spid="_x0000_s184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457200</xdr:colOff>
          <xdr:row>32</xdr:row>
          <xdr:rowOff>22860</xdr:rowOff>
        </xdr:from>
        <xdr:to>
          <xdr:col>5</xdr:col>
          <xdr:colOff>1082040</xdr:colOff>
          <xdr:row>35</xdr:row>
          <xdr:rowOff>7620</xdr:rowOff>
        </xdr:to>
        <xdr:sp macro="" textlink="">
          <xdr:nvSpPr>
            <xdr:cNvPr id="18435" name="CommandButton3" hidden="1">
              <a:extLst>
                <a:ext uri="{63B3BB69-23CF-44E3-9099-C40C66FF867C}">
                  <a14:compatExt spid="_x0000_s184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266700</xdr:colOff>
          <xdr:row>42</xdr:row>
          <xdr:rowOff>0</xdr:rowOff>
        </xdr:from>
        <xdr:to>
          <xdr:col>5</xdr:col>
          <xdr:colOff>266700</xdr:colOff>
          <xdr:row>44</xdr:row>
          <xdr:rowOff>167640</xdr:rowOff>
        </xdr:to>
        <xdr:sp macro="" textlink="">
          <xdr:nvSpPr>
            <xdr:cNvPr id="18436" name="CommandButton4" hidden="1">
              <a:extLst>
                <a:ext uri="{63B3BB69-23CF-44E3-9099-C40C66FF867C}">
                  <a14:compatExt spid="_x0000_s1843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68580</xdr:colOff>
          <xdr:row>49</xdr:row>
          <xdr:rowOff>30480</xdr:rowOff>
        </xdr:from>
        <xdr:to>
          <xdr:col>7</xdr:col>
          <xdr:colOff>190500</xdr:colOff>
          <xdr:row>52</xdr:row>
          <xdr:rowOff>15240</xdr:rowOff>
        </xdr:to>
        <xdr:sp macro="" textlink="">
          <xdr:nvSpPr>
            <xdr:cNvPr id="18437" name="CommandButton5" hidden="1">
              <a:extLst>
                <a:ext uri="{63B3BB69-23CF-44E3-9099-C40C66FF867C}">
                  <a14:compatExt spid="_x0000_s1843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152400</xdr:colOff>
          <xdr:row>22</xdr:row>
          <xdr:rowOff>30480</xdr:rowOff>
        </xdr:from>
        <xdr:to>
          <xdr:col>3</xdr:col>
          <xdr:colOff>45720</xdr:colOff>
          <xdr:row>25</xdr:row>
          <xdr:rowOff>7620</xdr:rowOff>
        </xdr:to>
        <xdr:sp macro="" textlink="">
          <xdr:nvSpPr>
            <xdr:cNvPr id="18438" name="CommandButton6" hidden="1">
              <a:extLst>
                <a:ext uri="{63B3BB69-23CF-44E3-9099-C40C66FF867C}">
                  <a14:compatExt spid="_x0000_s184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419100</xdr:colOff>
          <xdr:row>32</xdr:row>
          <xdr:rowOff>30480</xdr:rowOff>
        </xdr:from>
        <xdr:to>
          <xdr:col>4</xdr:col>
          <xdr:colOff>312420</xdr:colOff>
          <xdr:row>35</xdr:row>
          <xdr:rowOff>7620</xdr:rowOff>
        </xdr:to>
        <xdr:sp macro="" textlink="">
          <xdr:nvSpPr>
            <xdr:cNvPr id="18439" name="CommandButton7" hidden="1">
              <a:extLst>
                <a:ext uri="{63B3BB69-23CF-44E3-9099-C40C66FF867C}">
                  <a14:compatExt spid="_x0000_s1843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213360</xdr:colOff>
          <xdr:row>42</xdr:row>
          <xdr:rowOff>0</xdr:rowOff>
        </xdr:from>
        <xdr:to>
          <xdr:col>3</xdr:col>
          <xdr:colOff>106680</xdr:colOff>
          <xdr:row>44</xdr:row>
          <xdr:rowOff>160020</xdr:rowOff>
        </xdr:to>
        <xdr:sp macro="" textlink="">
          <xdr:nvSpPr>
            <xdr:cNvPr id="18440" name="CommandButton8" hidden="1">
              <a:extLst>
                <a:ext uri="{63B3BB69-23CF-44E3-9099-C40C66FF867C}">
                  <a14:compatExt spid="_x0000_s1844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5</xdr:col>
      <xdr:colOff>38100</xdr:colOff>
      <xdr:row>4</xdr:row>
      <xdr:rowOff>107156</xdr:rowOff>
    </xdr:from>
    <xdr:to>
      <xdr:col>17</xdr:col>
      <xdr:colOff>294218</xdr:colOff>
      <xdr:row>16</xdr:row>
      <xdr:rowOff>180975</xdr:rowOff>
    </xdr:to>
    <xdr:sp macro="" textlink="">
      <xdr:nvSpPr>
        <xdr:cNvPr id="10" name="TextBox 9"/>
        <xdr:cNvSpPr txBox="1"/>
      </xdr:nvSpPr>
      <xdr:spPr>
        <a:xfrm>
          <a:off x="3074194" y="988219"/>
          <a:ext cx="9185805" cy="2431256"/>
        </a:xfrm>
        <a:prstGeom prst="rect">
          <a:avLst/>
        </a:prstGeom>
        <a:solidFill>
          <a:schemeClr val="accent1">
            <a:lumMod val="40000"/>
            <a:lumOff val="60000"/>
          </a:schemeClr>
        </a:solidFill>
        <a:ln w="9525" cmpd="sng">
          <a:noFill/>
        </a:ln>
        <a:scene3d>
          <a:camera prst="orthographicFront"/>
          <a:lightRig rig="threePt" dir="t"/>
        </a:scene3d>
        <a:sp3d>
          <a:bevelT/>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300" baseline="0">
              <a:latin typeface="Avenir Next Cyr W04 Demi" panose="020B0703020202020204" pitchFamily="34" charset="0"/>
            </a:rPr>
            <a:t>This page assists the user to estimate the sexually active proportion of adolescents who fall into the previously defined sexual partner groups. </a:t>
          </a:r>
        </a:p>
        <a:p>
          <a:pPr algn="ctr"/>
          <a:endParaRPr lang="en-US" sz="1100" baseline="0">
            <a:latin typeface="Avenir Next Cyr W04 Demi" panose="020B0703020202020204" pitchFamily="34" charset="0"/>
          </a:endParaRPr>
        </a:p>
        <a:p>
          <a:pPr algn="ctr"/>
          <a:r>
            <a:rPr lang="en-US" sz="1300" baseline="0">
              <a:latin typeface="Avenir Next Cyr W04 Demi" panose="020B0703020202020204" pitchFamily="34" charset="0"/>
            </a:rPr>
            <a:t>MORE ABOUT THE STEPS</a:t>
          </a:r>
        </a:p>
        <a:p>
          <a:pPr algn="ctr"/>
          <a:endParaRPr lang="en-US" sz="1300" baseline="0">
            <a:latin typeface="Avenir Next Cyr W04 Demi" panose="020B0703020202020204" pitchFamily="34" charset="0"/>
          </a:endParaRPr>
        </a:p>
        <a:p>
          <a:pPr marL="0" marR="0" lvl="0" indent="0" algn="ctr" defTabSz="914400" eaLnBrk="1" fontAlgn="auto" latinLnBrk="0" hangingPunct="1">
            <a:lnSpc>
              <a:spcPct val="100000"/>
            </a:lnSpc>
            <a:spcBef>
              <a:spcPts val="0"/>
            </a:spcBef>
            <a:spcAft>
              <a:spcPts val="0"/>
            </a:spcAft>
            <a:buClrTx/>
            <a:buSzTx/>
            <a:buFontTx/>
            <a:buNone/>
            <a:tabLst/>
            <a:defRPr/>
          </a:pPr>
          <a:endParaRPr lang="en-US" sz="1100" baseline="0">
            <a:solidFill>
              <a:schemeClr val="dk1"/>
            </a:solidFill>
            <a:effectLst/>
            <a:latin typeface="Avenir Next Cyr W04 Demi" panose="020B0703020202020204" pitchFamily="34" charset="0"/>
            <a:ea typeface="+mn-ea"/>
            <a:cs typeface="+mn-cs"/>
          </a:endParaRPr>
        </a:p>
        <a:p>
          <a:pPr marL="0" marR="0" lvl="0" indent="0" algn="ctr" defTabSz="914400" eaLnBrk="1" fontAlgn="auto" latinLnBrk="0" hangingPunct="1">
            <a:lnSpc>
              <a:spcPct val="100000"/>
            </a:lnSpc>
            <a:spcBef>
              <a:spcPts val="0"/>
            </a:spcBef>
            <a:spcAft>
              <a:spcPts val="0"/>
            </a:spcAft>
            <a:buClrTx/>
            <a:buSzTx/>
            <a:buFontTx/>
            <a:buNone/>
            <a:tabLst/>
            <a:defRPr/>
          </a:pPr>
          <a:r>
            <a:rPr lang="en-US" sz="1100" baseline="0">
              <a:solidFill>
                <a:schemeClr val="dk1"/>
              </a:solidFill>
              <a:effectLst/>
              <a:latin typeface="+mn-lt"/>
              <a:ea typeface="+mn-ea"/>
              <a:cs typeface="+mn-cs"/>
            </a:rPr>
            <a:t>Note: clicking "Set to Defaults" will set all of the cells in that section to default values. If you wish to use some of your own data, and some of our defaults, select "Set to Defaults" and then simply replace individuals cells with your own desired inputs. </a:t>
          </a:r>
          <a:endParaRPr lang="en-US" sz="1400">
            <a:effectLst/>
          </a:endParaRPr>
        </a:p>
      </xdr:txBody>
    </xdr:sp>
    <xdr:clientData/>
  </xdr:twoCellAnchor>
  <mc:AlternateContent xmlns:mc="http://schemas.openxmlformats.org/markup-compatibility/2006">
    <mc:Choice xmlns:a14="http://schemas.microsoft.com/office/drawing/2010/main" Requires="a14">
      <xdr:twoCellAnchor editAs="oneCell">
        <xdr:from>
          <xdr:col>0</xdr:col>
          <xdr:colOff>495300</xdr:colOff>
          <xdr:row>6</xdr:row>
          <xdr:rowOff>76200</xdr:rowOff>
        </xdr:from>
        <xdr:to>
          <xdr:col>4</xdr:col>
          <xdr:colOff>152400</xdr:colOff>
          <xdr:row>10</xdr:row>
          <xdr:rowOff>99060</xdr:rowOff>
        </xdr:to>
        <xdr:sp macro="" textlink="">
          <xdr:nvSpPr>
            <xdr:cNvPr id="18441" name="CheckBox1" hidden="1">
              <a:extLst>
                <a:ext uri="{63B3BB69-23CF-44E3-9099-C40C66FF867C}">
                  <a14:compatExt spid="_x0000_s184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95249</xdr:colOff>
      <xdr:row>0</xdr:row>
      <xdr:rowOff>83344</xdr:rowOff>
    </xdr:from>
    <xdr:to>
      <xdr:col>19</xdr:col>
      <xdr:colOff>214311</xdr:colOff>
      <xdr:row>60</xdr:row>
      <xdr:rowOff>171450</xdr:rowOff>
    </xdr:to>
    <xdr:sp macro="" textlink="">
      <xdr:nvSpPr>
        <xdr:cNvPr id="12" name="Half Frame 11"/>
        <xdr:cNvSpPr/>
      </xdr:nvSpPr>
      <xdr:spPr>
        <a:xfrm>
          <a:off x="95249" y="83344"/>
          <a:ext cx="13299281" cy="12256294"/>
        </a:xfrm>
        <a:prstGeom prst="halfFrame">
          <a:avLst>
            <a:gd name="adj1" fmla="val 1965"/>
            <a:gd name="adj2" fmla="val 2026"/>
          </a:avLst>
        </a:prstGeom>
        <a:solidFill>
          <a:srgbClr val="3F1C5A"/>
        </a:solidFill>
        <a:ln>
          <a:noFill/>
        </a:ln>
        <a:scene3d>
          <a:camera prst="orthographicFront"/>
          <a:lightRig rig="threePt" dir="t"/>
        </a:scene3d>
        <a:sp3d>
          <a:bevelT h="254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mc:AlternateContent xmlns:mc="http://schemas.openxmlformats.org/markup-compatibility/2006">
    <mc:Choice xmlns:a14="http://schemas.microsoft.com/office/drawing/2010/main" Requires="a14">
      <xdr:twoCellAnchor editAs="oneCell">
        <xdr:from>
          <xdr:col>14</xdr:col>
          <xdr:colOff>76200</xdr:colOff>
          <xdr:row>1</xdr:row>
          <xdr:rowOff>220980</xdr:rowOff>
        </xdr:from>
        <xdr:to>
          <xdr:col>17</xdr:col>
          <xdr:colOff>327660</xdr:colOff>
          <xdr:row>3</xdr:row>
          <xdr:rowOff>251460</xdr:rowOff>
        </xdr:to>
        <xdr:sp macro="" textlink="">
          <xdr:nvSpPr>
            <xdr:cNvPr id="18442" name="CommandButton1" hidden="1">
              <a:extLst>
                <a:ext uri="{63B3BB69-23CF-44E3-9099-C40C66FF867C}">
                  <a14:compatExt spid="_x0000_s184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60960</xdr:colOff>
          <xdr:row>0</xdr:row>
          <xdr:rowOff>68580</xdr:rowOff>
        </xdr:from>
        <xdr:to>
          <xdr:col>0</xdr:col>
          <xdr:colOff>601980</xdr:colOff>
          <xdr:row>2</xdr:row>
          <xdr:rowOff>137160</xdr:rowOff>
        </xdr:to>
        <xdr:sp macro="" textlink="">
          <xdr:nvSpPr>
            <xdr:cNvPr id="31745" name="CommandButton1" descr="Back" hidden="1">
              <a:extLst>
                <a:ext uri="{63B3BB69-23CF-44E3-9099-C40C66FF867C}">
                  <a14:compatExt spid="_x0000_s3174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114300</xdr:colOff>
          <xdr:row>0</xdr:row>
          <xdr:rowOff>45720</xdr:rowOff>
        </xdr:from>
        <xdr:to>
          <xdr:col>1</xdr:col>
          <xdr:colOff>30480</xdr:colOff>
          <xdr:row>2</xdr:row>
          <xdr:rowOff>121920</xdr:rowOff>
        </xdr:to>
        <xdr:sp macro="" textlink="">
          <xdr:nvSpPr>
            <xdr:cNvPr id="32769" name="CommandButton1" descr="Back" hidden="1">
              <a:extLst>
                <a:ext uri="{63B3BB69-23CF-44E3-9099-C40C66FF867C}">
                  <a14:compatExt spid="_x0000_s3276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60960</xdr:colOff>
          <xdr:row>0</xdr:row>
          <xdr:rowOff>60960</xdr:rowOff>
        </xdr:from>
        <xdr:to>
          <xdr:col>0</xdr:col>
          <xdr:colOff>601980</xdr:colOff>
          <xdr:row>2</xdr:row>
          <xdr:rowOff>137160</xdr:rowOff>
        </xdr:to>
        <xdr:sp macro="" textlink="">
          <xdr:nvSpPr>
            <xdr:cNvPr id="33793" name="CommandButton1" descr="Back" hidden="1">
              <a:extLst>
                <a:ext uri="{63B3BB69-23CF-44E3-9099-C40C66FF867C}">
                  <a14:compatExt spid="_x0000_s337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60960</xdr:colOff>
          <xdr:row>0</xdr:row>
          <xdr:rowOff>60960</xdr:rowOff>
        </xdr:from>
        <xdr:to>
          <xdr:col>0</xdr:col>
          <xdr:colOff>594360</xdr:colOff>
          <xdr:row>2</xdr:row>
          <xdr:rowOff>129540</xdr:rowOff>
        </xdr:to>
        <xdr:sp macro="" textlink="">
          <xdr:nvSpPr>
            <xdr:cNvPr id="34817" name="CommandButton1" descr="Back" hidden="1">
              <a:extLst>
                <a:ext uri="{63B3BB69-23CF-44E3-9099-C40C66FF867C}">
                  <a14:compatExt spid="_x0000_s3481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60960</xdr:colOff>
          <xdr:row>0</xdr:row>
          <xdr:rowOff>76200</xdr:rowOff>
        </xdr:from>
        <xdr:to>
          <xdr:col>0</xdr:col>
          <xdr:colOff>601980</xdr:colOff>
          <xdr:row>2</xdr:row>
          <xdr:rowOff>144780</xdr:rowOff>
        </xdr:to>
        <xdr:sp macro="" textlink="">
          <xdr:nvSpPr>
            <xdr:cNvPr id="35841" name="CommandButton1" descr="Back" hidden="1">
              <a:extLst>
                <a:ext uri="{63B3BB69-23CF-44E3-9099-C40C66FF867C}">
                  <a14:compatExt spid="_x0000_s358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7.xml><?xml version="1.0" encoding="utf-8"?>
<xdr:wsDr xmlns:xdr="http://schemas.openxmlformats.org/drawingml/2006/spreadsheetDrawing" xmlns:a="http://schemas.openxmlformats.org/drawingml/2006/main">
  <xdr:twoCellAnchor>
    <xdr:from>
      <xdr:col>5</xdr:col>
      <xdr:colOff>723899</xdr:colOff>
      <xdr:row>4</xdr:row>
      <xdr:rowOff>133350</xdr:rowOff>
    </xdr:from>
    <xdr:to>
      <xdr:col>16</xdr:col>
      <xdr:colOff>447674</xdr:colOff>
      <xdr:row>14</xdr:row>
      <xdr:rowOff>76200</xdr:rowOff>
    </xdr:to>
    <xdr:sp macro="" textlink="">
      <xdr:nvSpPr>
        <xdr:cNvPr id="2" name="TextBox 1"/>
        <xdr:cNvSpPr txBox="1"/>
      </xdr:nvSpPr>
      <xdr:spPr>
        <a:xfrm>
          <a:off x="3829049" y="1038225"/>
          <a:ext cx="8143875" cy="1847850"/>
        </a:xfrm>
        <a:prstGeom prst="rect">
          <a:avLst/>
        </a:prstGeom>
        <a:solidFill>
          <a:schemeClr val="accent1">
            <a:lumMod val="40000"/>
            <a:lumOff val="60000"/>
          </a:schemeClr>
        </a:solidFill>
        <a:ln w="9525" cmpd="sng">
          <a:noFill/>
        </a:ln>
        <a:scene3d>
          <a:camera prst="orthographicFront"/>
          <a:lightRig rig="threePt" dir="t"/>
        </a:scene3d>
        <a:sp3d>
          <a:bevelT/>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500" b="1" i="1" u="none" strike="noStrike">
              <a:solidFill>
                <a:schemeClr val="dk1"/>
              </a:solidFill>
              <a:effectLst/>
              <a:latin typeface="Avenir Next Cyr W04 Demi" panose="020B0703020202020204" pitchFamily="34" charset="0"/>
              <a:ea typeface="+mn-ea"/>
              <a:cs typeface="+mn-cs"/>
            </a:rPr>
            <a:t>Prevalence </a:t>
          </a:r>
          <a:r>
            <a:rPr lang="en-US" sz="1500" b="1" i="0" u="none" strike="noStrike">
              <a:solidFill>
                <a:schemeClr val="dk1"/>
              </a:solidFill>
              <a:effectLst/>
              <a:latin typeface="Avenir Next Cyr W04 Demi" panose="020B0703020202020204" pitchFamily="34" charset="0"/>
              <a:ea typeface="+mn-ea"/>
              <a:cs typeface="+mn-cs"/>
            </a:rPr>
            <a:t>represents</a:t>
          </a:r>
          <a:r>
            <a:rPr lang="en-US" sz="1500" b="1" i="0" u="none" strike="noStrike" baseline="0">
              <a:solidFill>
                <a:schemeClr val="dk1"/>
              </a:solidFill>
              <a:effectLst/>
              <a:latin typeface="Avenir Next Cyr W04 Demi" panose="020B0703020202020204" pitchFamily="34" charset="0"/>
              <a:ea typeface="+mn-ea"/>
              <a:cs typeface="+mn-cs"/>
            </a:rPr>
            <a:t> the current prevalence of each infection in each age group and for the sexual behavior categories</a:t>
          </a:r>
          <a:endParaRPr lang="en-US" sz="1100" baseline="0">
            <a:latin typeface="Avenir Next Cyr W04 Demi" panose="020B0703020202020204" pitchFamily="34" charset="0"/>
          </a:endParaRPr>
        </a:p>
        <a:p>
          <a:endParaRPr lang="en-US" sz="1100" baseline="0">
            <a:latin typeface="Avenir Next Cyr W04 Demi" panose="020B0703020202020204" pitchFamily="34" charset="0"/>
          </a:endParaRPr>
        </a:p>
        <a:p>
          <a:pPr algn="ctr"/>
          <a:r>
            <a:rPr lang="en-US" sz="1300" baseline="0">
              <a:latin typeface="Avenir Next Cyr W04 Demi" panose="020B0703020202020204" pitchFamily="34" charset="0"/>
            </a:rPr>
            <a:t>You may manually enter each probability based on your own data, or use our defaults. </a:t>
          </a:r>
        </a:p>
        <a:p>
          <a:pPr algn="ctr"/>
          <a:r>
            <a:rPr lang="en-US" sz="1050" baseline="0">
              <a:latin typeface="Avenir Next Cyr W04 Demi" panose="020B0703020202020204" pitchFamily="34" charset="0"/>
            </a:rPr>
            <a:t>Please use decimal format: a 4% prevalence should be entered as 0.04</a:t>
          </a:r>
        </a:p>
        <a:p>
          <a:pPr algn="ctr"/>
          <a:endParaRPr lang="en-US" sz="1050" baseline="0">
            <a:latin typeface="Avenir Next Cyr W04 Demi" panose="020B0703020202020204" pitchFamily="34" charset="0"/>
          </a:endParaRPr>
        </a:p>
        <a:p>
          <a:pPr algn="ctr"/>
          <a:r>
            <a:rPr lang="en-US" sz="1050" baseline="0">
              <a:latin typeface="Avenir Next Cyr W04 Demi" panose="020B0703020202020204" pitchFamily="34" charset="0"/>
            </a:rPr>
            <a:t>Note: clicking "Set to Defaults" will set all of the cells in that section to default values. If you wish to use some of your own data, and some of our defaults, select "Set to Defaults" and then simply replace individuals cells with your own desired inputs. </a:t>
          </a:r>
        </a:p>
      </xdr:txBody>
    </xdr:sp>
    <xdr:clientData/>
  </xdr:twoCellAnchor>
  <xdr:twoCellAnchor>
    <xdr:from>
      <xdr:col>3</xdr:col>
      <xdr:colOff>0</xdr:colOff>
      <xdr:row>16</xdr:row>
      <xdr:rowOff>85725</xdr:rowOff>
    </xdr:from>
    <xdr:to>
      <xdr:col>5</xdr:col>
      <xdr:colOff>1019175</xdr:colOff>
      <xdr:row>17</xdr:row>
      <xdr:rowOff>209550</xdr:rowOff>
    </xdr:to>
    <xdr:sp macro="" textlink="">
      <xdr:nvSpPr>
        <xdr:cNvPr id="3" name="TextBox 2"/>
        <xdr:cNvSpPr txBox="1"/>
      </xdr:nvSpPr>
      <xdr:spPr>
        <a:xfrm>
          <a:off x="1828800" y="3276600"/>
          <a:ext cx="2295525" cy="314325"/>
        </a:xfrm>
        <a:prstGeom prst="rect">
          <a:avLst/>
        </a:prstGeom>
        <a:solidFill>
          <a:schemeClr val="accent6">
            <a:lumMod val="60000"/>
            <a:lumOff val="40000"/>
          </a:schemeClr>
        </a:solidFill>
        <a:ln w="9525" cmpd="sng">
          <a:solidFill>
            <a:schemeClr val="lt1">
              <a:shade val="50000"/>
            </a:schemeClr>
          </a:solidFill>
        </a:ln>
        <a:scene3d>
          <a:camera prst="orthographicFront"/>
          <a:lightRig rig="threePt" dir="t"/>
        </a:scene3d>
        <a:sp3d prstMaterial="matte">
          <a:bevelT w="38100" h="381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300">
              <a:latin typeface="Avenir Next Cyr W04 Demi" panose="020B0703020202020204" pitchFamily="34" charset="0"/>
            </a:rPr>
            <a:t>Neisseria</a:t>
          </a:r>
          <a:r>
            <a:rPr lang="en-US" sz="1300" baseline="0">
              <a:latin typeface="Avenir Next Cyr W04 Demi" panose="020B0703020202020204" pitchFamily="34" charset="0"/>
            </a:rPr>
            <a:t> gonorrhea </a:t>
          </a:r>
          <a:endParaRPr lang="en-US" sz="1300">
            <a:latin typeface="Avenir Next Cyr W04 Demi" panose="020B0703020202020204" pitchFamily="34" charset="0"/>
          </a:endParaRPr>
        </a:p>
      </xdr:txBody>
    </xdr:sp>
    <xdr:clientData/>
  </xdr:twoCellAnchor>
  <xdr:twoCellAnchor>
    <xdr:from>
      <xdr:col>3</xdr:col>
      <xdr:colOff>19050</xdr:colOff>
      <xdr:row>28</xdr:row>
      <xdr:rowOff>85725</xdr:rowOff>
    </xdr:from>
    <xdr:to>
      <xdr:col>5</xdr:col>
      <xdr:colOff>952500</xdr:colOff>
      <xdr:row>29</xdr:row>
      <xdr:rowOff>209550</xdr:rowOff>
    </xdr:to>
    <xdr:sp macro="" textlink="">
      <xdr:nvSpPr>
        <xdr:cNvPr id="4" name="TextBox 3"/>
        <xdr:cNvSpPr txBox="1"/>
      </xdr:nvSpPr>
      <xdr:spPr>
        <a:xfrm>
          <a:off x="1847850" y="5610225"/>
          <a:ext cx="2209800" cy="314325"/>
        </a:xfrm>
        <a:prstGeom prst="rect">
          <a:avLst/>
        </a:prstGeom>
        <a:solidFill>
          <a:schemeClr val="accent6">
            <a:lumMod val="60000"/>
            <a:lumOff val="40000"/>
          </a:schemeClr>
        </a:solidFill>
        <a:ln w="9525" cmpd="sng">
          <a:solidFill>
            <a:schemeClr val="lt1">
              <a:shade val="50000"/>
            </a:schemeClr>
          </a:solidFill>
        </a:ln>
        <a:scene3d>
          <a:camera prst="orthographicFront"/>
          <a:lightRig rig="threePt" dir="t"/>
        </a:scene3d>
        <a:sp3d prstMaterial="matte">
          <a:bevelT w="38100" h="381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300">
              <a:latin typeface="Avenir Next Cyr W04 Demi" panose="020B0703020202020204" pitchFamily="34" charset="0"/>
            </a:rPr>
            <a:t>Chlamydia</a:t>
          </a:r>
          <a:r>
            <a:rPr lang="en-US" sz="1300" baseline="0">
              <a:latin typeface="Avenir Next Cyr W04 Demi" panose="020B0703020202020204" pitchFamily="34" charset="0"/>
            </a:rPr>
            <a:t> trachomatis</a:t>
          </a:r>
          <a:endParaRPr lang="en-US" sz="1300">
            <a:latin typeface="Avenir Next Cyr W04 Demi" panose="020B0703020202020204" pitchFamily="34" charset="0"/>
          </a:endParaRPr>
        </a:p>
      </xdr:txBody>
    </xdr:sp>
    <xdr:clientData/>
  </xdr:twoCellAnchor>
  <xdr:twoCellAnchor>
    <xdr:from>
      <xdr:col>3</xdr:col>
      <xdr:colOff>9524</xdr:colOff>
      <xdr:row>40</xdr:row>
      <xdr:rowOff>85725</xdr:rowOff>
    </xdr:from>
    <xdr:to>
      <xdr:col>5</xdr:col>
      <xdr:colOff>942975</xdr:colOff>
      <xdr:row>41</xdr:row>
      <xdr:rowOff>209550</xdr:rowOff>
    </xdr:to>
    <xdr:sp macro="" textlink="">
      <xdr:nvSpPr>
        <xdr:cNvPr id="5" name="TextBox 4"/>
        <xdr:cNvSpPr txBox="1"/>
      </xdr:nvSpPr>
      <xdr:spPr>
        <a:xfrm>
          <a:off x="1838324" y="7943850"/>
          <a:ext cx="2209801" cy="314325"/>
        </a:xfrm>
        <a:prstGeom prst="rect">
          <a:avLst/>
        </a:prstGeom>
        <a:solidFill>
          <a:schemeClr val="accent6">
            <a:lumMod val="60000"/>
            <a:lumOff val="40000"/>
          </a:schemeClr>
        </a:solidFill>
        <a:ln w="9525" cmpd="sng">
          <a:solidFill>
            <a:schemeClr val="lt1">
              <a:shade val="50000"/>
            </a:schemeClr>
          </a:solidFill>
        </a:ln>
        <a:scene3d>
          <a:camera prst="orthographicFront"/>
          <a:lightRig rig="threePt" dir="t"/>
        </a:scene3d>
        <a:sp3d prstMaterial="matte">
          <a:bevelT w="38100" h="381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300">
              <a:latin typeface="Avenir Next Cyr W04 Demi" panose="020B0703020202020204" pitchFamily="34" charset="0"/>
            </a:rPr>
            <a:t>HIV</a:t>
          </a:r>
        </a:p>
      </xdr:txBody>
    </xdr:sp>
    <xdr:clientData/>
  </xdr:twoCellAnchor>
  <mc:AlternateContent xmlns:mc="http://schemas.openxmlformats.org/markup-compatibility/2006">
    <mc:Choice xmlns:a14="http://schemas.microsoft.com/office/drawing/2010/main" Requires="a14">
      <xdr:twoCellAnchor editAs="oneCell">
        <xdr:from>
          <xdr:col>10</xdr:col>
          <xdr:colOff>144780</xdr:colOff>
          <xdr:row>21</xdr:row>
          <xdr:rowOff>160020</xdr:rowOff>
        </xdr:from>
        <xdr:to>
          <xdr:col>13</xdr:col>
          <xdr:colOff>320040</xdr:colOff>
          <xdr:row>25</xdr:row>
          <xdr:rowOff>38100</xdr:rowOff>
        </xdr:to>
        <xdr:sp macro="" textlink="">
          <xdr:nvSpPr>
            <xdr:cNvPr id="11265" name="CommandButton1" hidden="1">
              <a:extLst>
                <a:ext uri="{63B3BB69-23CF-44E3-9099-C40C66FF867C}">
                  <a14:compatExt spid="_x0000_s112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152400</xdr:colOff>
          <xdr:row>33</xdr:row>
          <xdr:rowOff>152400</xdr:rowOff>
        </xdr:from>
        <xdr:to>
          <xdr:col>13</xdr:col>
          <xdr:colOff>327660</xdr:colOff>
          <xdr:row>37</xdr:row>
          <xdr:rowOff>45720</xdr:rowOff>
        </xdr:to>
        <xdr:sp macro="" textlink="">
          <xdr:nvSpPr>
            <xdr:cNvPr id="11266" name="CommandButton2" hidden="1">
              <a:extLst>
                <a:ext uri="{63B3BB69-23CF-44E3-9099-C40C66FF867C}">
                  <a14:compatExt spid="_x0000_s112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144780</xdr:colOff>
          <xdr:row>45</xdr:row>
          <xdr:rowOff>152400</xdr:rowOff>
        </xdr:from>
        <xdr:to>
          <xdr:col>13</xdr:col>
          <xdr:colOff>320040</xdr:colOff>
          <xdr:row>49</xdr:row>
          <xdr:rowOff>45720</xdr:rowOff>
        </xdr:to>
        <xdr:sp macro="" textlink="">
          <xdr:nvSpPr>
            <xdr:cNvPr id="11267" name="CommandButton3" hidden="1">
              <a:extLst>
                <a:ext uri="{63B3BB69-23CF-44E3-9099-C40C66FF867C}">
                  <a14:compatExt spid="_x0000_s1126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144780</xdr:colOff>
          <xdr:row>21</xdr:row>
          <xdr:rowOff>160020</xdr:rowOff>
        </xdr:from>
        <xdr:to>
          <xdr:col>17</xdr:col>
          <xdr:colOff>320040</xdr:colOff>
          <xdr:row>25</xdr:row>
          <xdr:rowOff>38100</xdr:rowOff>
        </xdr:to>
        <xdr:sp macro="" textlink="">
          <xdr:nvSpPr>
            <xdr:cNvPr id="11268" name="CommandButton4" hidden="1">
              <a:extLst>
                <a:ext uri="{63B3BB69-23CF-44E3-9099-C40C66FF867C}">
                  <a14:compatExt spid="_x0000_s1126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182880</xdr:colOff>
          <xdr:row>33</xdr:row>
          <xdr:rowOff>160020</xdr:rowOff>
        </xdr:from>
        <xdr:to>
          <xdr:col>17</xdr:col>
          <xdr:colOff>358140</xdr:colOff>
          <xdr:row>37</xdr:row>
          <xdr:rowOff>53340</xdr:rowOff>
        </xdr:to>
        <xdr:sp macro="" textlink="">
          <xdr:nvSpPr>
            <xdr:cNvPr id="11269" name="CommandButton5" hidden="1">
              <a:extLst>
                <a:ext uri="{63B3BB69-23CF-44E3-9099-C40C66FF867C}">
                  <a14:compatExt spid="_x0000_s1126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160020</xdr:colOff>
          <xdr:row>45</xdr:row>
          <xdr:rowOff>160020</xdr:rowOff>
        </xdr:from>
        <xdr:to>
          <xdr:col>17</xdr:col>
          <xdr:colOff>335280</xdr:colOff>
          <xdr:row>49</xdr:row>
          <xdr:rowOff>53340</xdr:rowOff>
        </xdr:to>
        <xdr:sp macro="" textlink="">
          <xdr:nvSpPr>
            <xdr:cNvPr id="11270" name="CommandButton6" hidden="1">
              <a:extLst>
                <a:ext uri="{63B3BB69-23CF-44E3-9099-C40C66FF867C}">
                  <a14:compatExt spid="_x0000_s1127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457200</xdr:colOff>
          <xdr:row>52</xdr:row>
          <xdr:rowOff>175260</xdr:rowOff>
        </xdr:from>
        <xdr:to>
          <xdr:col>11</xdr:col>
          <xdr:colOff>251460</xdr:colOff>
          <xdr:row>57</xdr:row>
          <xdr:rowOff>60960</xdr:rowOff>
        </xdr:to>
        <xdr:sp macro="" textlink="">
          <xdr:nvSpPr>
            <xdr:cNvPr id="11271" name="CommandButton7" hidden="1">
              <a:extLst>
                <a:ext uri="{63B3BB69-23CF-44E3-9099-C40C66FF867C}">
                  <a14:compatExt spid="_x0000_s1127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3" Type="http://schemas.openxmlformats.org/officeDocument/2006/relationships/image" Target="../media/image9.emf"/><Relationship Id="rId18" Type="http://schemas.openxmlformats.org/officeDocument/2006/relationships/control" Target="../activeX/activeX8.xml"/><Relationship Id="rId26" Type="http://schemas.openxmlformats.org/officeDocument/2006/relationships/control" Target="../activeX/activeX12.xml"/><Relationship Id="rId3" Type="http://schemas.openxmlformats.org/officeDocument/2006/relationships/vmlDrawing" Target="../drawings/vmlDrawing1.vml"/><Relationship Id="rId21" Type="http://schemas.openxmlformats.org/officeDocument/2006/relationships/image" Target="../media/image13.emf"/><Relationship Id="rId7" Type="http://schemas.openxmlformats.org/officeDocument/2006/relationships/image" Target="../media/image6.emf"/><Relationship Id="rId12" Type="http://schemas.openxmlformats.org/officeDocument/2006/relationships/control" Target="../activeX/activeX5.xml"/><Relationship Id="rId17" Type="http://schemas.openxmlformats.org/officeDocument/2006/relationships/image" Target="../media/image11.emf"/><Relationship Id="rId25" Type="http://schemas.openxmlformats.org/officeDocument/2006/relationships/image" Target="../media/image15.emf"/><Relationship Id="rId33" Type="http://schemas.openxmlformats.org/officeDocument/2006/relationships/image" Target="../media/image19.emf"/><Relationship Id="rId2" Type="http://schemas.openxmlformats.org/officeDocument/2006/relationships/drawing" Target="../drawings/drawing3.xml"/><Relationship Id="rId16" Type="http://schemas.openxmlformats.org/officeDocument/2006/relationships/control" Target="../activeX/activeX7.xml"/><Relationship Id="rId20" Type="http://schemas.openxmlformats.org/officeDocument/2006/relationships/control" Target="../activeX/activeX9.xml"/><Relationship Id="rId29" Type="http://schemas.openxmlformats.org/officeDocument/2006/relationships/image" Target="../media/image17.emf"/><Relationship Id="rId1" Type="http://schemas.openxmlformats.org/officeDocument/2006/relationships/printerSettings" Target="../printerSettings/printerSettings3.bin"/><Relationship Id="rId6" Type="http://schemas.openxmlformats.org/officeDocument/2006/relationships/control" Target="../activeX/activeX2.xml"/><Relationship Id="rId11" Type="http://schemas.openxmlformats.org/officeDocument/2006/relationships/image" Target="../media/image8.emf"/><Relationship Id="rId24" Type="http://schemas.openxmlformats.org/officeDocument/2006/relationships/control" Target="../activeX/activeX11.xml"/><Relationship Id="rId32" Type="http://schemas.openxmlformats.org/officeDocument/2006/relationships/control" Target="../activeX/activeX15.xml"/><Relationship Id="rId5" Type="http://schemas.openxmlformats.org/officeDocument/2006/relationships/image" Target="../media/image5.emf"/><Relationship Id="rId15" Type="http://schemas.openxmlformats.org/officeDocument/2006/relationships/image" Target="../media/image10.emf"/><Relationship Id="rId23" Type="http://schemas.openxmlformats.org/officeDocument/2006/relationships/image" Target="../media/image14.emf"/><Relationship Id="rId28" Type="http://schemas.openxmlformats.org/officeDocument/2006/relationships/control" Target="../activeX/activeX13.xml"/><Relationship Id="rId10" Type="http://schemas.openxmlformats.org/officeDocument/2006/relationships/control" Target="../activeX/activeX4.xml"/><Relationship Id="rId19" Type="http://schemas.openxmlformats.org/officeDocument/2006/relationships/image" Target="../media/image12.emf"/><Relationship Id="rId31" Type="http://schemas.openxmlformats.org/officeDocument/2006/relationships/image" Target="../media/image18.emf"/><Relationship Id="rId4" Type="http://schemas.openxmlformats.org/officeDocument/2006/relationships/control" Target="../activeX/activeX1.xml"/><Relationship Id="rId9" Type="http://schemas.openxmlformats.org/officeDocument/2006/relationships/image" Target="../media/image7.emf"/><Relationship Id="rId14" Type="http://schemas.openxmlformats.org/officeDocument/2006/relationships/control" Target="../activeX/activeX6.xml"/><Relationship Id="rId22" Type="http://schemas.openxmlformats.org/officeDocument/2006/relationships/control" Target="../activeX/activeX10.xml"/><Relationship Id="rId27" Type="http://schemas.openxmlformats.org/officeDocument/2006/relationships/image" Target="../media/image16.emf"/><Relationship Id="rId30" Type="http://schemas.openxmlformats.org/officeDocument/2006/relationships/control" Target="../activeX/activeX14.xml"/><Relationship Id="rId8" Type="http://schemas.openxmlformats.org/officeDocument/2006/relationships/control" Target="../activeX/activeX3.xml"/></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18.xml"/><Relationship Id="rId13" Type="http://schemas.openxmlformats.org/officeDocument/2006/relationships/image" Target="../media/image24.emf"/><Relationship Id="rId18" Type="http://schemas.openxmlformats.org/officeDocument/2006/relationships/control" Target="../activeX/activeX23.xml"/><Relationship Id="rId26" Type="http://schemas.openxmlformats.org/officeDocument/2006/relationships/control" Target="../activeX/activeX27.xml"/><Relationship Id="rId3" Type="http://schemas.openxmlformats.org/officeDocument/2006/relationships/vmlDrawing" Target="../drawings/vmlDrawing2.vml"/><Relationship Id="rId21" Type="http://schemas.openxmlformats.org/officeDocument/2006/relationships/image" Target="../media/image28.emf"/><Relationship Id="rId7" Type="http://schemas.openxmlformats.org/officeDocument/2006/relationships/image" Target="../media/image21.emf"/><Relationship Id="rId12" Type="http://schemas.openxmlformats.org/officeDocument/2006/relationships/control" Target="../activeX/activeX20.xml"/><Relationship Id="rId17" Type="http://schemas.openxmlformats.org/officeDocument/2006/relationships/image" Target="../media/image26.emf"/><Relationship Id="rId25" Type="http://schemas.openxmlformats.org/officeDocument/2006/relationships/image" Target="../media/image30.emf"/><Relationship Id="rId2" Type="http://schemas.openxmlformats.org/officeDocument/2006/relationships/drawing" Target="../drawings/drawing4.xml"/><Relationship Id="rId16" Type="http://schemas.openxmlformats.org/officeDocument/2006/relationships/control" Target="../activeX/activeX22.xml"/><Relationship Id="rId20" Type="http://schemas.openxmlformats.org/officeDocument/2006/relationships/control" Target="../activeX/activeX24.xml"/><Relationship Id="rId1" Type="http://schemas.openxmlformats.org/officeDocument/2006/relationships/printerSettings" Target="../printerSettings/printerSettings4.bin"/><Relationship Id="rId6" Type="http://schemas.openxmlformats.org/officeDocument/2006/relationships/control" Target="../activeX/activeX17.xml"/><Relationship Id="rId11" Type="http://schemas.openxmlformats.org/officeDocument/2006/relationships/image" Target="../media/image23.emf"/><Relationship Id="rId24" Type="http://schemas.openxmlformats.org/officeDocument/2006/relationships/control" Target="../activeX/activeX26.xml"/><Relationship Id="rId5" Type="http://schemas.openxmlformats.org/officeDocument/2006/relationships/image" Target="../media/image20.emf"/><Relationship Id="rId15" Type="http://schemas.openxmlformats.org/officeDocument/2006/relationships/image" Target="../media/image25.emf"/><Relationship Id="rId23" Type="http://schemas.openxmlformats.org/officeDocument/2006/relationships/image" Target="../media/image29.emf"/><Relationship Id="rId10" Type="http://schemas.openxmlformats.org/officeDocument/2006/relationships/control" Target="../activeX/activeX19.xml"/><Relationship Id="rId19" Type="http://schemas.openxmlformats.org/officeDocument/2006/relationships/image" Target="../media/image27.emf"/><Relationship Id="rId4" Type="http://schemas.openxmlformats.org/officeDocument/2006/relationships/control" Target="../activeX/activeX16.xml"/><Relationship Id="rId9" Type="http://schemas.openxmlformats.org/officeDocument/2006/relationships/image" Target="../media/image22.emf"/><Relationship Id="rId14" Type="http://schemas.openxmlformats.org/officeDocument/2006/relationships/control" Target="../activeX/activeX21.xml"/><Relationship Id="rId22" Type="http://schemas.openxmlformats.org/officeDocument/2006/relationships/control" Target="../activeX/activeX25.xml"/><Relationship Id="rId27" Type="http://schemas.openxmlformats.org/officeDocument/2006/relationships/image" Target="../media/image31.emf"/></Relationships>
</file>

<file path=xl/worksheets/_rels/sheet5.xml.rels><?xml version="1.0" encoding="UTF-8" standalone="yes"?>
<Relationships xmlns="http://schemas.openxmlformats.org/package/2006/relationships"><Relationship Id="rId8" Type="http://schemas.openxmlformats.org/officeDocument/2006/relationships/control" Target="../activeX/activeX30.xml"/><Relationship Id="rId13" Type="http://schemas.openxmlformats.org/officeDocument/2006/relationships/image" Target="../media/image36.emf"/><Relationship Id="rId18" Type="http://schemas.openxmlformats.org/officeDocument/2006/relationships/control" Target="../activeX/activeX35.xml"/><Relationship Id="rId3" Type="http://schemas.openxmlformats.org/officeDocument/2006/relationships/vmlDrawing" Target="../drawings/vmlDrawing3.vml"/><Relationship Id="rId7" Type="http://schemas.openxmlformats.org/officeDocument/2006/relationships/image" Target="../media/image33.emf"/><Relationship Id="rId12" Type="http://schemas.openxmlformats.org/officeDocument/2006/relationships/control" Target="../activeX/activeX32.xml"/><Relationship Id="rId17" Type="http://schemas.openxmlformats.org/officeDocument/2006/relationships/image" Target="../media/image38.emf"/><Relationship Id="rId2" Type="http://schemas.openxmlformats.org/officeDocument/2006/relationships/drawing" Target="../drawings/drawing5.xml"/><Relationship Id="rId16" Type="http://schemas.openxmlformats.org/officeDocument/2006/relationships/control" Target="../activeX/activeX34.xml"/><Relationship Id="rId1" Type="http://schemas.openxmlformats.org/officeDocument/2006/relationships/printerSettings" Target="../printerSettings/printerSettings5.bin"/><Relationship Id="rId6" Type="http://schemas.openxmlformats.org/officeDocument/2006/relationships/control" Target="../activeX/activeX29.xml"/><Relationship Id="rId11" Type="http://schemas.openxmlformats.org/officeDocument/2006/relationships/image" Target="../media/image35.emf"/><Relationship Id="rId5" Type="http://schemas.openxmlformats.org/officeDocument/2006/relationships/image" Target="../media/image32.emf"/><Relationship Id="rId15" Type="http://schemas.openxmlformats.org/officeDocument/2006/relationships/image" Target="../media/image37.emf"/><Relationship Id="rId10" Type="http://schemas.openxmlformats.org/officeDocument/2006/relationships/control" Target="../activeX/activeX31.xml"/><Relationship Id="rId19" Type="http://schemas.openxmlformats.org/officeDocument/2006/relationships/image" Target="../media/image39.emf"/><Relationship Id="rId4" Type="http://schemas.openxmlformats.org/officeDocument/2006/relationships/control" Target="../activeX/activeX28.xml"/><Relationship Id="rId9" Type="http://schemas.openxmlformats.org/officeDocument/2006/relationships/image" Target="../media/image34.emf"/><Relationship Id="rId14" Type="http://schemas.openxmlformats.org/officeDocument/2006/relationships/control" Target="../activeX/activeX33.xml"/></Relationships>
</file>

<file path=xl/worksheets/_rels/sheet6.xml.rels><?xml version="1.0" encoding="UTF-8" standalone="yes"?>
<Relationships xmlns="http://schemas.openxmlformats.org/package/2006/relationships"><Relationship Id="rId8" Type="http://schemas.openxmlformats.org/officeDocument/2006/relationships/image" Target="../media/image42.emf"/><Relationship Id="rId13" Type="http://schemas.openxmlformats.org/officeDocument/2006/relationships/control" Target="../activeX/activeX41.xml"/><Relationship Id="rId18" Type="http://schemas.openxmlformats.org/officeDocument/2006/relationships/image" Target="../media/image47.emf"/><Relationship Id="rId3" Type="http://schemas.openxmlformats.org/officeDocument/2006/relationships/control" Target="../activeX/activeX36.xml"/><Relationship Id="rId7" Type="http://schemas.openxmlformats.org/officeDocument/2006/relationships/control" Target="../activeX/activeX38.xml"/><Relationship Id="rId12" Type="http://schemas.openxmlformats.org/officeDocument/2006/relationships/image" Target="../media/image44.emf"/><Relationship Id="rId17" Type="http://schemas.openxmlformats.org/officeDocument/2006/relationships/control" Target="../activeX/activeX43.xml"/><Relationship Id="rId2" Type="http://schemas.openxmlformats.org/officeDocument/2006/relationships/vmlDrawing" Target="../drawings/vmlDrawing4.vml"/><Relationship Id="rId16" Type="http://schemas.openxmlformats.org/officeDocument/2006/relationships/image" Target="../media/image46.emf"/><Relationship Id="rId20" Type="http://schemas.openxmlformats.org/officeDocument/2006/relationships/image" Target="../media/image48.emf"/><Relationship Id="rId1" Type="http://schemas.openxmlformats.org/officeDocument/2006/relationships/drawing" Target="../drawings/drawing6.xml"/><Relationship Id="rId6" Type="http://schemas.openxmlformats.org/officeDocument/2006/relationships/image" Target="../media/image41.emf"/><Relationship Id="rId11" Type="http://schemas.openxmlformats.org/officeDocument/2006/relationships/control" Target="../activeX/activeX40.xml"/><Relationship Id="rId5" Type="http://schemas.openxmlformats.org/officeDocument/2006/relationships/control" Target="../activeX/activeX37.xml"/><Relationship Id="rId15" Type="http://schemas.openxmlformats.org/officeDocument/2006/relationships/control" Target="../activeX/activeX42.xml"/><Relationship Id="rId10" Type="http://schemas.openxmlformats.org/officeDocument/2006/relationships/image" Target="../media/image43.emf"/><Relationship Id="rId19" Type="http://schemas.openxmlformats.org/officeDocument/2006/relationships/control" Target="../activeX/activeX44.xml"/><Relationship Id="rId4" Type="http://schemas.openxmlformats.org/officeDocument/2006/relationships/image" Target="../media/image40.emf"/><Relationship Id="rId9" Type="http://schemas.openxmlformats.org/officeDocument/2006/relationships/control" Target="../activeX/activeX39.xml"/><Relationship Id="rId14" Type="http://schemas.openxmlformats.org/officeDocument/2006/relationships/image" Target="../media/image45.emf"/></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47.xml"/><Relationship Id="rId13" Type="http://schemas.openxmlformats.org/officeDocument/2006/relationships/image" Target="../media/image53.emf"/><Relationship Id="rId3" Type="http://schemas.openxmlformats.org/officeDocument/2006/relationships/vmlDrawing" Target="../drawings/vmlDrawing5.vml"/><Relationship Id="rId7" Type="http://schemas.openxmlformats.org/officeDocument/2006/relationships/image" Target="../media/image50.emf"/><Relationship Id="rId12" Type="http://schemas.openxmlformats.org/officeDocument/2006/relationships/control" Target="../activeX/activeX49.xml"/><Relationship Id="rId2" Type="http://schemas.openxmlformats.org/officeDocument/2006/relationships/drawing" Target="../drawings/drawing7.xml"/><Relationship Id="rId1" Type="http://schemas.openxmlformats.org/officeDocument/2006/relationships/printerSettings" Target="../printerSettings/printerSettings6.bin"/><Relationship Id="rId6" Type="http://schemas.openxmlformats.org/officeDocument/2006/relationships/control" Target="../activeX/activeX46.xml"/><Relationship Id="rId11" Type="http://schemas.openxmlformats.org/officeDocument/2006/relationships/image" Target="../media/image52.emf"/><Relationship Id="rId5" Type="http://schemas.openxmlformats.org/officeDocument/2006/relationships/image" Target="../media/image49.emf"/><Relationship Id="rId15" Type="http://schemas.openxmlformats.org/officeDocument/2006/relationships/image" Target="../media/image54.emf"/><Relationship Id="rId10" Type="http://schemas.openxmlformats.org/officeDocument/2006/relationships/control" Target="../activeX/activeX48.xml"/><Relationship Id="rId4" Type="http://schemas.openxmlformats.org/officeDocument/2006/relationships/control" Target="../activeX/activeX45.xml"/><Relationship Id="rId9" Type="http://schemas.openxmlformats.org/officeDocument/2006/relationships/image" Target="../media/image51.emf"/><Relationship Id="rId14" Type="http://schemas.openxmlformats.org/officeDocument/2006/relationships/control" Target="../activeX/activeX50.xml"/></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53.xml"/><Relationship Id="rId13" Type="http://schemas.openxmlformats.org/officeDocument/2006/relationships/image" Target="../media/image59.emf"/><Relationship Id="rId18" Type="http://schemas.openxmlformats.org/officeDocument/2006/relationships/control" Target="../activeX/activeX58.xml"/><Relationship Id="rId26" Type="http://schemas.openxmlformats.org/officeDocument/2006/relationships/control" Target="../activeX/activeX62.xml"/><Relationship Id="rId3" Type="http://schemas.openxmlformats.org/officeDocument/2006/relationships/vmlDrawing" Target="../drawings/vmlDrawing6.vml"/><Relationship Id="rId21" Type="http://schemas.openxmlformats.org/officeDocument/2006/relationships/image" Target="../media/image63.emf"/><Relationship Id="rId7" Type="http://schemas.openxmlformats.org/officeDocument/2006/relationships/image" Target="../media/image56.emf"/><Relationship Id="rId12" Type="http://schemas.openxmlformats.org/officeDocument/2006/relationships/control" Target="../activeX/activeX55.xml"/><Relationship Id="rId17" Type="http://schemas.openxmlformats.org/officeDocument/2006/relationships/image" Target="../media/image61.emf"/><Relationship Id="rId25" Type="http://schemas.openxmlformats.org/officeDocument/2006/relationships/image" Target="../media/image65.emf"/><Relationship Id="rId2" Type="http://schemas.openxmlformats.org/officeDocument/2006/relationships/drawing" Target="../drawings/drawing8.xml"/><Relationship Id="rId16" Type="http://schemas.openxmlformats.org/officeDocument/2006/relationships/control" Target="../activeX/activeX57.xml"/><Relationship Id="rId20" Type="http://schemas.openxmlformats.org/officeDocument/2006/relationships/control" Target="../activeX/activeX59.xml"/><Relationship Id="rId29" Type="http://schemas.openxmlformats.org/officeDocument/2006/relationships/image" Target="../media/image67.emf"/><Relationship Id="rId1" Type="http://schemas.openxmlformats.org/officeDocument/2006/relationships/printerSettings" Target="../printerSettings/printerSettings7.bin"/><Relationship Id="rId6" Type="http://schemas.openxmlformats.org/officeDocument/2006/relationships/control" Target="../activeX/activeX52.xml"/><Relationship Id="rId11" Type="http://schemas.openxmlformats.org/officeDocument/2006/relationships/image" Target="../media/image58.emf"/><Relationship Id="rId24" Type="http://schemas.openxmlformats.org/officeDocument/2006/relationships/control" Target="../activeX/activeX61.xml"/><Relationship Id="rId5" Type="http://schemas.openxmlformats.org/officeDocument/2006/relationships/image" Target="../media/image55.emf"/><Relationship Id="rId15" Type="http://schemas.openxmlformats.org/officeDocument/2006/relationships/image" Target="../media/image60.emf"/><Relationship Id="rId23" Type="http://schemas.openxmlformats.org/officeDocument/2006/relationships/image" Target="../media/image64.emf"/><Relationship Id="rId28" Type="http://schemas.openxmlformats.org/officeDocument/2006/relationships/control" Target="../activeX/activeX63.xml"/><Relationship Id="rId10" Type="http://schemas.openxmlformats.org/officeDocument/2006/relationships/control" Target="../activeX/activeX54.xml"/><Relationship Id="rId19" Type="http://schemas.openxmlformats.org/officeDocument/2006/relationships/image" Target="../media/image62.emf"/><Relationship Id="rId4" Type="http://schemas.openxmlformats.org/officeDocument/2006/relationships/control" Target="../activeX/activeX51.xml"/><Relationship Id="rId9" Type="http://schemas.openxmlformats.org/officeDocument/2006/relationships/image" Target="../media/image57.emf"/><Relationship Id="rId14" Type="http://schemas.openxmlformats.org/officeDocument/2006/relationships/control" Target="../activeX/activeX56.xml"/><Relationship Id="rId22" Type="http://schemas.openxmlformats.org/officeDocument/2006/relationships/control" Target="../activeX/activeX60.xml"/><Relationship Id="rId27" Type="http://schemas.openxmlformats.org/officeDocument/2006/relationships/image" Target="../media/image66.emf"/></Relationships>
</file>

<file path=xl/worksheets/_rels/sheet9.xml.rels><?xml version="1.0" encoding="UTF-8" standalone="yes"?>
<Relationships xmlns="http://schemas.openxmlformats.org/package/2006/relationships"><Relationship Id="rId8" Type="http://schemas.openxmlformats.org/officeDocument/2006/relationships/control" Target="../activeX/activeX66.xml"/><Relationship Id="rId13" Type="http://schemas.openxmlformats.org/officeDocument/2006/relationships/image" Target="../media/image72.emf"/><Relationship Id="rId3" Type="http://schemas.openxmlformats.org/officeDocument/2006/relationships/vmlDrawing" Target="../drawings/vmlDrawing7.vml"/><Relationship Id="rId7" Type="http://schemas.openxmlformats.org/officeDocument/2006/relationships/image" Target="../media/image69.emf"/><Relationship Id="rId12" Type="http://schemas.openxmlformats.org/officeDocument/2006/relationships/control" Target="../activeX/activeX68.xml"/><Relationship Id="rId2" Type="http://schemas.openxmlformats.org/officeDocument/2006/relationships/drawing" Target="../drawings/drawing9.xml"/><Relationship Id="rId1" Type="http://schemas.openxmlformats.org/officeDocument/2006/relationships/printerSettings" Target="../printerSettings/printerSettings8.bin"/><Relationship Id="rId6" Type="http://schemas.openxmlformats.org/officeDocument/2006/relationships/control" Target="../activeX/activeX65.xml"/><Relationship Id="rId11" Type="http://schemas.openxmlformats.org/officeDocument/2006/relationships/image" Target="../media/image71.emf"/><Relationship Id="rId5" Type="http://schemas.openxmlformats.org/officeDocument/2006/relationships/image" Target="../media/image68.emf"/><Relationship Id="rId15" Type="http://schemas.openxmlformats.org/officeDocument/2006/relationships/image" Target="../media/image73.emf"/><Relationship Id="rId10" Type="http://schemas.openxmlformats.org/officeDocument/2006/relationships/control" Target="../activeX/activeX67.xml"/><Relationship Id="rId4" Type="http://schemas.openxmlformats.org/officeDocument/2006/relationships/control" Target="../activeX/activeX64.xml"/><Relationship Id="rId9" Type="http://schemas.openxmlformats.org/officeDocument/2006/relationships/image" Target="../media/image70.emf"/><Relationship Id="rId14" Type="http://schemas.openxmlformats.org/officeDocument/2006/relationships/control" Target="../activeX/activeX69.xml"/></Relationships>
</file>

<file path=xl/worksheets/_rels/sheet10.xml.rels><?xml version="1.0" encoding="UTF-8" standalone="yes"?>
<Relationships xmlns="http://schemas.openxmlformats.org/package/2006/relationships"><Relationship Id="rId26" Type="http://schemas.openxmlformats.org/officeDocument/2006/relationships/control" Target="../activeX/activeX81.xml"/><Relationship Id="rId21" Type="http://schemas.openxmlformats.org/officeDocument/2006/relationships/image" Target="../media/image82.emf"/><Relationship Id="rId34" Type="http://schemas.openxmlformats.org/officeDocument/2006/relationships/control" Target="../activeX/activeX85.xml"/><Relationship Id="rId42" Type="http://schemas.openxmlformats.org/officeDocument/2006/relationships/control" Target="../activeX/activeX89.xml"/><Relationship Id="rId47" Type="http://schemas.openxmlformats.org/officeDocument/2006/relationships/image" Target="../media/image95.emf"/><Relationship Id="rId50" Type="http://schemas.openxmlformats.org/officeDocument/2006/relationships/control" Target="../activeX/activeX93.xml"/><Relationship Id="rId55" Type="http://schemas.openxmlformats.org/officeDocument/2006/relationships/image" Target="../media/image99.emf"/><Relationship Id="rId63" Type="http://schemas.openxmlformats.org/officeDocument/2006/relationships/image" Target="../media/image103.emf"/><Relationship Id="rId7" Type="http://schemas.openxmlformats.org/officeDocument/2006/relationships/image" Target="../media/image75.emf"/><Relationship Id="rId2" Type="http://schemas.openxmlformats.org/officeDocument/2006/relationships/drawing" Target="../drawings/drawing10.xml"/><Relationship Id="rId16" Type="http://schemas.openxmlformats.org/officeDocument/2006/relationships/control" Target="../activeX/activeX76.xml"/><Relationship Id="rId29" Type="http://schemas.openxmlformats.org/officeDocument/2006/relationships/image" Target="../media/image86.emf"/><Relationship Id="rId11" Type="http://schemas.openxmlformats.org/officeDocument/2006/relationships/image" Target="../media/image77.emf"/><Relationship Id="rId24" Type="http://schemas.openxmlformats.org/officeDocument/2006/relationships/control" Target="../activeX/activeX80.xml"/><Relationship Id="rId32" Type="http://schemas.openxmlformats.org/officeDocument/2006/relationships/control" Target="../activeX/activeX84.xml"/><Relationship Id="rId37" Type="http://schemas.openxmlformats.org/officeDocument/2006/relationships/image" Target="../media/image90.emf"/><Relationship Id="rId40" Type="http://schemas.openxmlformats.org/officeDocument/2006/relationships/control" Target="../activeX/activeX88.xml"/><Relationship Id="rId45" Type="http://schemas.openxmlformats.org/officeDocument/2006/relationships/image" Target="../media/image94.emf"/><Relationship Id="rId53" Type="http://schemas.openxmlformats.org/officeDocument/2006/relationships/image" Target="../media/image98.emf"/><Relationship Id="rId58" Type="http://schemas.openxmlformats.org/officeDocument/2006/relationships/control" Target="../activeX/activeX97.xml"/><Relationship Id="rId66" Type="http://schemas.openxmlformats.org/officeDocument/2006/relationships/control" Target="../activeX/activeX101.xml"/><Relationship Id="rId5" Type="http://schemas.openxmlformats.org/officeDocument/2006/relationships/image" Target="../media/image74.emf"/><Relationship Id="rId61" Type="http://schemas.openxmlformats.org/officeDocument/2006/relationships/image" Target="../media/image102.emf"/><Relationship Id="rId19" Type="http://schemas.openxmlformats.org/officeDocument/2006/relationships/image" Target="../media/image81.emf"/><Relationship Id="rId14" Type="http://schemas.openxmlformats.org/officeDocument/2006/relationships/control" Target="../activeX/activeX75.xml"/><Relationship Id="rId22" Type="http://schemas.openxmlformats.org/officeDocument/2006/relationships/control" Target="../activeX/activeX79.xml"/><Relationship Id="rId27" Type="http://schemas.openxmlformats.org/officeDocument/2006/relationships/image" Target="../media/image85.emf"/><Relationship Id="rId30" Type="http://schemas.openxmlformats.org/officeDocument/2006/relationships/control" Target="../activeX/activeX83.xml"/><Relationship Id="rId35" Type="http://schemas.openxmlformats.org/officeDocument/2006/relationships/image" Target="../media/image89.emf"/><Relationship Id="rId43" Type="http://schemas.openxmlformats.org/officeDocument/2006/relationships/image" Target="../media/image93.emf"/><Relationship Id="rId48" Type="http://schemas.openxmlformats.org/officeDocument/2006/relationships/control" Target="../activeX/activeX92.xml"/><Relationship Id="rId56" Type="http://schemas.openxmlformats.org/officeDocument/2006/relationships/control" Target="../activeX/activeX96.xml"/><Relationship Id="rId64" Type="http://schemas.openxmlformats.org/officeDocument/2006/relationships/control" Target="../activeX/activeX100.xml"/><Relationship Id="rId8" Type="http://schemas.openxmlformats.org/officeDocument/2006/relationships/control" Target="../activeX/activeX72.xml"/><Relationship Id="rId51" Type="http://schemas.openxmlformats.org/officeDocument/2006/relationships/image" Target="../media/image97.emf"/><Relationship Id="rId3" Type="http://schemas.openxmlformats.org/officeDocument/2006/relationships/vmlDrawing" Target="../drawings/vmlDrawing8.vml"/><Relationship Id="rId12" Type="http://schemas.openxmlformats.org/officeDocument/2006/relationships/control" Target="../activeX/activeX74.xml"/><Relationship Id="rId17" Type="http://schemas.openxmlformats.org/officeDocument/2006/relationships/image" Target="../media/image80.emf"/><Relationship Id="rId25" Type="http://schemas.openxmlformats.org/officeDocument/2006/relationships/image" Target="../media/image84.emf"/><Relationship Id="rId33" Type="http://schemas.openxmlformats.org/officeDocument/2006/relationships/image" Target="../media/image88.emf"/><Relationship Id="rId38" Type="http://schemas.openxmlformats.org/officeDocument/2006/relationships/control" Target="../activeX/activeX87.xml"/><Relationship Id="rId46" Type="http://schemas.openxmlformats.org/officeDocument/2006/relationships/control" Target="../activeX/activeX91.xml"/><Relationship Id="rId59" Type="http://schemas.openxmlformats.org/officeDocument/2006/relationships/image" Target="../media/image101.emf"/><Relationship Id="rId67" Type="http://schemas.openxmlformats.org/officeDocument/2006/relationships/image" Target="../media/image105.emf"/><Relationship Id="rId20" Type="http://schemas.openxmlformats.org/officeDocument/2006/relationships/control" Target="../activeX/activeX78.xml"/><Relationship Id="rId41" Type="http://schemas.openxmlformats.org/officeDocument/2006/relationships/image" Target="../media/image92.emf"/><Relationship Id="rId54" Type="http://schemas.openxmlformats.org/officeDocument/2006/relationships/control" Target="../activeX/activeX95.xml"/><Relationship Id="rId62" Type="http://schemas.openxmlformats.org/officeDocument/2006/relationships/control" Target="../activeX/activeX99.xml"/><Relationship Id="rId1" Type="http://schemas.openxmlformats.org/officeDocument/2006/relationships/printerSettings" Target="../printerSettings/printerSettings9.bin"/><Relationship Id="rId6" Type="http://schemas.openxmlformats.org/officeDocument/2006/relationships/control" Target="../activeX/activeX71.xml"/><Relationship Id="rId15" Type="http://schemas.openxmlformats.org/officeDocument/2006/relationships/image" Target="../media/image79.emf"/><Relationship Id="rId23" Type="http://schemas.openxmlformats.org/officeDocument/2006/relationships/image" Target="../media/image83.emf"/><Relationship Id="rId28" Type="http://schemas.openxmlformats.org/officeDocument/2006/relationships/control" Target="../activeX/activeX82.xml"/><Relationship Id="rId36" Type="http://schemas.openxmlformats.org/officeDocument/2006/relationships/control" Target="../activeX/activeX86.xml"/><Relationship Id="rId49" Type="http://schemas.openxmlformats.org/officeDocument/2006/relationships/image" Target="../media/image96.emf"/><Relationship Id="rId57" Type="http://schemas.openxmlformats.org/officeDocument/2006/relationships/image" Target="../media/image100.emf"/><Relationship Id="rId10" Type="http://schemas.openxmlformats.org/officeDocument/2006/relationships/control" Target="../activeX/activeX73.xml"/><Relationship Id="rId31" Type="http://schemas.openxmlformats.org/officeDocument/2006/relationships/image" Target="../media/image87.emf"/><Relationship Id="rId44" Type="http://schemas.openxmlformats.org/officeDocument/2006/relationships/control" Target="../activeX/activeX90.xml"/><Relationship Id="rId52" Type="http://schemas.openxmlformats.org/officeDocument/2006/relationships/control" Target="../activeX/activeX94.xml"/><Relationship Id="rId60" Type="http://schemas.openxmlformats.org/officeDocument/2006/relationships/control" Target="../activeX/activeX98.xml"/><Relationship Id="rId65" Type="http://schemas.openxmlformats.org/officeDocument/2006/relationships/image" Target="../media/image104.emf"/><Relationship Id="rId4" Type="http://schemas.openxmlformats.org/officeDocument/2006/relationships/control" Target="../activeX/activeX70.xml"/><Relationship Id="rId9" Type="http://schemas.openxmlformats.org/officeDocument/2006/relationships/image" Target="../media/image76.emf"/><Relationship Id="rId13" Type="http://schemas.openxmlformats.org/officeDocument/2006/relationships/image" Target="../media/image78.emf"/><Relationship Id="rId18" Type="http://schemas.openxmlformats.org/officeDocument/2006/relationships/control" Target="../activeX/activeX77.xml"/><Relationship Id="rId39" Type="http://schemas.openxmlformats.org/officeDocument/2006/relationships/image" Target="../media/image91.emf"/></Relationships>
</file>

<file path=xl/worksheets/_rels/sheet11.xml.rels><?xml version="1.0" encoding="UTF-8" standalone="yes"?>
<Relationships xmlns="http://schemas.openxmlformats.org/package/2006/relationships"><Relationship Id="rId8" Type="http://schemas.openxmlformats.org/officeDocument/2006/relationships/image" Target="../media/image108.emf"/><Relationship Id="rId13" Type="http://schemas.openxmlformats.org/officeDocument/2006/relationships/control" Target="../activeX/activeX107.xml"/><Relationship Id="rId18" Type="http://schemas.openxmlformats.org/officeDocument/2006/relationships/image" Target="../media/image113.emf"/><Relationship Id="rId3" Type="http://schemas.openxmlformats.org/officeDocument/2006/relationships/control" Target="../activeX/activeX102.xml"/><Relationship Id="rId7" Type="http://schemas.openxmlformats.org/officeDocument/2006/relationships/control" Target="../activeX/activeX104.xml"/><Relationship Id="rId12" Type="http://schemas.openxmlformats.org/officeDocument/2006/relationships/image" Target="../media/image110.emf"/><Relationship Id="rId17" Type="http://schemas.openxmlformats.org/officeDocument/2006/relationships/control" Target="../activeX/activeX109.xml"/><Relationship Id="rId2" Type="http://schemas.openxmlformats.org/officeDocument/2006/relationships/vmlDrawing" Target="../drawings/vmlDrawing9.vml"/><Relationship Id="rId16" Type="http://schemas.openxmlformats.org/officeDocument/2006/relationships/image" Target="../media/image112.emf"/><Relationship Id="rId20" Type="http://schemas.openxmlformats.org/officeDocument/2006/relationships/image" Target="../media/image114.emf"/><Relationship Id="rId1" Type="http://schemas.openxmlformats.org/officeDocument/2006/relationships/drawing" Target="../drawings/drawing11.xml"/><Relationship Id="rId6" Type="http://schemas.openxmlformats.org/officeDocument/2006/relationships/image" Target="../media/image107.emf"/><Relationship Id="rId11" Type="http://schemas.openxmlformats.org/officeDocument/2006/relationships/control" Target="../activeX/activeX106.xml"/><Relationship Id="rId5" Type="http://schemas.openxmlformats.org/officeDocument/2006/relationships/control" Target="../activeX/activeX103.xml"/><Relationship Id="rId15" Type="http://schemas.openxmlformats.org/officeDocument/2006/relationships/control" Target="../activeX/activeX108.xml"/><Relationship Id="rId10" Type="http://schemas.openxmlformats.org/officeDocument/2006/relationships/image" Target="../media/image109.emf"/><Relationship Id="rId19" Type="http://schemas.openxmlformats.org/officeDocument/2006/relationships/control" Target="../activeX/activeX110.xml"/><Relationship Id="rId4" Type="http://schemas.openxmlformats.org/officeDocument/2006/relationships/image" Target="../media/image106.emf"/><Relationship Id="rId9" Type="http://schemas.openxmlformats.org/officeDocument/2006/relationships/control" Target="../activeX/activeX105.xml"/><Relationship Id="rId14" Type="http://schemas.openxmlformats.org/officeDocument/2006/relationships/image" Target="../media/image111.emf"/></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2.xml"/><Relationship Id="rId1" Type="http://schemas.openxmlformats.org/officeDocument/2006/relationships/printerSettings" Target="../printerSettings/printerSettings10.bin"/><Relationship Id="rId5" Type="http://schemas.openxmlformats.org/officeDocument/2006/relationships/image" Target="../media/image115.emf"/><Relationship Id="rId4" Type="http://schemas.openxmlformats.org/officeDocument/2006/relationships/control" Target="../activeX/activeX111.xml"/></Relationships>
</file>

<file path=xl/worksheets/_rels/sheet13.xml.rels><?xml version="1.0" encoding="UTF-8" standalone="yes"?>
<Relationships xmlns="http://schemas.openxmlformats.org/package/2006/relationships"><Relationship Id="rId3" Type="http://schemas.openxmlformats.org/officeDocument/2006/relationships/control" Target="../activeX/activeX112.xml"/><Relationship Id="rId2" Type="http://schemas.openxmlformats.org/officeDocument/2006/relationships/vmlDrawing" Target="../drawings/vmlDrawing11.vml"/><Relationship Id="rId1" Type="http://schemas.openxmlformats.org/officeDocument/2006/relationships/drawing" Target="../drawings/drawing13.xml"/><Relationship Id="rId4" Type="http://schemas.openxmlformats.org/officeDocument/2006/relationships/image" Target="../media/image116.emf"/></Relationships>
</file>

<file path=xl/worksheets/_rels/sheet14.xml.rels><?xml version="1.0" encoding="UTF-8" standalone="yes"?>
<Relationships xmlns="http://schemas.openxmlformats.org/package/2006/relationships"><Relationship Id="rId3" Type="http://schemas.openxmlformats.org/officeDocument/2006/relationships/control" Target="../activeX/activeX113.xml"/><Relationship Id="rId2" Type="http://schemas.openxmlformats.org/officeDocument/2006/relationships/vmlDrawing" Target="../drawings/vmlDrawing12.vml"/><Relationship Id="rId1" Type="http://schemas.openxmlformats.org/officeDocument/2006/relationships/drawing" Target="../drawings/drawing14.xml"/><Relationship Id="rId4" Type="http://schemas.openxmlformats.org/officeDocument/2006/relationships/image" Target="../media/image117.emf"/></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5.xml"/><Relationship Id="rId1" Type="http://schemas.openxmlformats.org/officeDocument/2006/relationships/printerSettings" Target="../printerSettings/printerSettings11.bin"/><Relationship Id="rId5" Type="http://schemas.openxmlformats.org/officeDocument/2006/relationships/image" Target="../media/image118.emf"/><Relationship Id="rId4" Type="http://schemas.openxmlformats.org/officeDocument/2006/relationships/control" Target="../activeX/activeX114.xml"/></Relationships>
</file>

<file path=xl/worksheets/_rels/sheet16.xml.rels><?xml version="1.0" encoding="UTF-8" standalone="yes"?>
<Relationships xmlns="http://schemas.openxmlformats.org/package/2006/relationships"><Relationship Id="rId3" Type="http://schemas.openxmlformats.org/officeDocument/2006/relationships/control" Target="../activeX/activeX115.xml"/><Relationship Id="rId2" Type="http://schemas.openxmlformats.org/officeDocument/2006/relationships/vmlDrawing" Target="../drawings/vmlDrawing14.vml"/><Relationship Id="rId1" Type="http://schemas.openxmlformats.org/officeDocument/2006/relationships/drawing" Target="../drawings/drawing16.xml"/><Relationship Id="rId4" Type="http://schemas.openxmlformats.org/officeDocument/2006/relationships/image" Target="../media/image119.emf"/></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9.xml.rels><?xml version="1.0" encoding="UTF-8" standalone="yes"?>
<Relationships xmlns="http://schemas.openxmlformats.org/package/2006/relationships"><Relationship Id="rId8" Type="http://schemas.openxmlformats.org/officeDocument/2006/relationships/control" Target="../activeX/activeX118.xml"/><Relationship Id="rId13" Type="http://schemas.openxmlformats.org/officeDocument/2006/relationships/image" Target="../media/image124.emf"/><Relationship Id="rId3" Type="http://schemas.openxmlformats.org/officeDocument/2006/relationships/vmlDrawing" Target="../drawings/vmlDrawing15.vml"/><Relationship Id="rId7" Type="http://schemas.openxmlformats.org/officeDocument/2006/relationships/image" Target="../media/image121.emf"/><Relationship Id="rId12" Type="http://schemas.openxmlformats.org/officeDocument/2006/relationships/control" Target="../activeX/activeX120.xml"/><Relationship Id="rId17" Type="http://schemas.openxmlformats.org/officeDocument/2006/relationships/image" Target="../media/image126.emf"/><Relationship Id="rId2" Type="http://schemas.openxmlformats.org/officeDocument/2006/relationships/drawing" Target="../drawings/drawing17.xml"/><Relationship Id="rId16" Type="http://schemas.openxmlformats.org/officeDocument/2006/relationships/control" Target="../activeX/activeX122.xml"/><Relationship Id="rId1" Type="http://schemas.openxmlformats.org/officeDocument/2006/relationships/printerSettings" Target="../printerSettings/printerSettings14.bin"/><Relationship Id="rId6" Type="http://schemas.openxmlformats.org/officeDocument/2006/relationships/control" Target="../activeX/activeX117.xml"/><Relationship Id="rId11" Type="http://schemas.openxmlformats.org/officeDocument/2006/relationships/image" Target="../media/image123.emf"/><Relationship Id="rId5" Type="http://schemas.openxmlformats.org/officeDocument/2006/relationships/image" Target="../media/image120.emf"/><Relationship Id="rId15" Type="http://schemas.openxmlformats.org/officeDocument/2006/relationships/image" Target="../media/image125.emf"/><Relationship Id="rId10" Type="http://schemas.openxmlformats.org/officeDocument/2006/relationships/control" Target="../activeX/activeX119.xml"/><Relationship Id="rId4" Type="http://schemas.openxmlformats.org/officeDocument/2006/relationships/control" Target="../activeX/activeX116.xml"/><Relationship Id="rId9" Type="http://schemas.openxmlformats.org/officeDocument/2006/relationships/image" Target="../media/image122.emf"/><Relationship Id="rId14" Type="http://schemas.openxmlformats.org/officeDocument/2006/relationships/control" Target="../activeX/activeX12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theme="9" tint="0.39997558519241921"/>
    <pageSetUpPr autoPageBreaks="0"/>
  </sheetPr>
  <dimension ref="E6:M39"/>
  <sheetViews>
    <sheetView tabSelected="1" zoomScale="80" zoomScaleNormal="80" workbookViewId="0">
      <selection activeCell="B17" sqref="B17"/>
    </sheetView>
  </sheetViews>
  <sheetFormatPr defaultColWidth="9.109375" defaultRowHeight="14.4"/>
  <cols>
    <col min="1" max="4" width="9.109375" style="1"/>
    <col min="5" max="5" width="9.109375" style="1" customWidth="1"/>
    <col min="6" max="6" width="9.109375" style="1"/>
    <col min="7" max="7" width="9.109375" style="1" customWidth="1"/>
    <col min="8" max="16384" width="9.109375" style="1"/>
  </cols>
  <sheetData>
    <row r="6" ht="43.5" customHeight="1"/>
    <row r="11" ht="16.5" customHeight="1"/>
    <row r="16" ht="60" customHeight="1"/>
    <row r="17" spans="5:13">
      <c r="E17" s="139"/>
      <c r="F17" s="139"/>
      <c r="G17" s="139"/>
      <c r="H17" s="139"/>
      <c r="I17" s="139"/>
      <c r="J17" s="139"/>
      <c r="K17" s="139"/>
      <c r="L17" s="139"/>
      <c r="M17" s="139"/>
    </row>
    <row r="18" spans="5:13" ht="15.6">
      <c r="E18" s="140"/>
      <c r="F18" s="140"/>
      <c r="G18" s="139"/>
      <c r="H18" s="140"/>
      <c r="I18" s="379" t="s">
        <v>317</v>
      </c>
      <c r="J18" s="139"/>
      <c r="K18" s="139"/>
      <c r="L18" s="139"/>
      <c r="M18" s="139"/>
    </row>
    <row r="19" spans="5:13" ht="15.6">
      <c r="E19" s="140"/>
      <c r="F19" s="140"/>
      <c r="G19" s="139"/>
      <c r="H19" s="140"/>
      <c r="I19" s="379"/>
      <c r="J19" s="139"/>
      <c r="K19" s="139"/>
      <c r="L19" s="139"/>
      <c r="M19" s="139"/>
    </row>
    <row r="20" spans="5:13" ht="15.6">
      <c r="E20" s="140"/>
      <c r="F20" s="140"/>
      <c r="G20" s="139"/>
      <c r="H20" s="140"/>
      <c r="I20" s="379" t="s">
        <v>318</v>
      </c>
      <c r="J20" s="139"/>
      <c r="K20" s="139"/>
      <c r="L20" s="139"/>
      <c r="M20" s="139"/>
    </row>
    <row r="21" spans="5:13" ht="15.6">
      <c r="E21" s="140"/>
      <c r="F21" s="140"/>
      <c r="G21" s="139"/>
      <c r="H21" s="140"/>
      <c r="I21" s="379" t="s">
        <v>319</v>
      </c>
      <c r="J21" s="139"/>
      <c r="K21" s="139"/>
      <c r="L21" s="139"/>
      <c r="M21" s="139"/>
    </row>
    <row r="22" spans="5:13">
      <c r="E22" s="139"/>
      <c r="F22" s="139"/>
      <c r="G22" s="139"/>
      <c r="H22" s="139"/>
      <c r="I22" s="139"/>
      <c r="J22" s="139"/>
      <c r="K22" s="139"/>
      <c r="L22" s="139"/>
      <c r="M22" s="139"/>
    </row>
    <row r="33" spans="5:5">
      <c r="E33" s="2"/>
    </row>
    <row r="34" spans="5:5">
      <c r="E34" s="2"/>
    </row>
    <row r="35" spans="5:5">
      <c r="E35" s="2"/>
    </row>
    <row r="36" spans="5:5">
      <c r="E36" s="2"/>
    </row>
    <row r="37" spans="5:5">
      <c r="E37" s="2"/>
    </row>
    <row r="38" spans="5:5">
      <c r="E38" s="2"/>
    </row>
    <row r="39" spans="5:5">
      <c r="E39" s="2"/>
    </row>
  </sheetData>
  <pageMargins left="0.7" right="0.7" top="0.75" bottom="0.75" header="0.3" footer="0.3"/>
  <pageSetup orientation="portrait" horizontalDpi="1200" verticalDpi="1200"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tabColor theme="9" tint="0.39997558519241921"/>
  </sheetPr>
  <dimension ref="C5:H16"/>
  <sheetViews>
    <sheetView zoomScale="80" zoomScaleNormal="80" zoomScaleSheetLayoutView="80" workbookViewId="0"/>
  </sheetViews>
  <sheetFormatPr defaultColWidth="9.109375" defaultRowHeight="14.4"/>
  <cols>
    <col min="1" max="3" width="9.109375" style="1"/>
    <col min="4" max="4" width="118.6640625" style="1" customWidth="1"/>
    <col min="5" max="16384" width="9.109375" style="1"/>
  </cols>
  <sheetData>
    <row r="5" spans="3:8" ht="36" customHeight="1">
      <c r="C5" s="494"/>
      <c r="D5" s="488" t="s">
        <v>170</v>
      </c>
      <c r="E5" s="494"/>
    </row>
    <row r="6" spans="3:8" ht="15" customHeight="1">
      <c r="C6" s="495"/>
      <c r="D6" s="495"/>
      <c r="E6" s="495"/>
    </row>
    <row r="7" spans="3:8">
      <c r="D7" s="48"/>
    </row>
    <row r="8" spans="3:8" ht="48.75" customHeight="1">
      <c r="D8" s="47" t="s">
        <v>171</v>
      </c>
    </row>
    <row r="9" spans="3:8" ht="39" customHeight="1">
      <c r="D9" s="47" t="s">
        <v>111</v>
      </c>
      <c r="H9" s="651"/>
    </row>
    <row r="10" spans="3:8" ht="73.5" customHeight="1">
      <c r="D10" s="47" t="s">
        <v>172</v>
      </c>
    </row>
    <row r="11" spans="3:8" ht="58.5" customHeight="1">
      <c r="D11" s="401" t="s">
        <v>138</v>
      </c>
    </row>
    <row r="12" spans="3:8" ht="24" customHeight="1">
      <c r="D12" s="401" t="s">
        <v>292</v>
      </c>
    </row>
    <row r="13" spans="3:8" ht="72" customHeight="1">
      <c r="D13" s="47" t="s">
        <v>129</v>
      </c>
    </row>
    <row r="14" spans="3:8" ht="54.75" customHeight="1">
      <c r="D14" s="47" t="s">
        <v>48</v>
      </c>
    </row>
    <row r="15" spans="3:8" ht="39" customHeight="1">
      <c r="D15" s="47" t="s">
        <v>122</v>
      </c>
    </row>
    <row r="16" spans="3:8" ht="57.75" customHeight="1">
      <c r="D16" s="47" t="s">
        <v>123</v>
      </c>
    </row>
  </sheetData>
  <pageMargins left="0.7" right="0.7" top="0.75" bottom="0.75" header="0.3" footer="0.3"/>
  <pageSetup orientation="portrait" horizontalDpi="300" verticalDpi="0" r:id="rId1"/>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tabColor theme="9" tint="0.39997558519241921"/>
    <pageSetUpPr autoPageBreaks="0"/>
  </sheetPr>
  <dimension ref="C6:H40"/>
  <sheetViews>
    <sheetView zoomScale="80" zoomScaleNormal="80" workbookViewId="0"/>
  </sheetViews>
  <sheetFormatPr defaultColWidth="9.109375" defaultRowHeight="14.4"/>
  <cols>
    <col min="1" max="16384" width="9.109375" style="1"/>
  </cols>
  <sheetData>
    <row r="6" spans="3:8" ht="19.2">
      <c r="F6" s="496" t="s">
        <v>173</v>
      </c>
    </row>
    <row r="8" spans="3:8" ht="7.5" customHeight="1"/>
    <row r="10" spans="3:8" ht="16.8">
      <c r="C10" s="50" t="s">
        <v>298</v>
      </c>
      <c r="D10" s="48"/>
      <c r="E10" s="48"/>
      <c r="F10" s="48"/>
      <c r="G10" s="48"/>
      <c r="H10" s="48"/>
    </row>
    <row r="11" spans="3:8" ht="16.8">
      <c r="C11" s="50"/>
      <c r="D11" s="48"/>
      <c r="E11" s="48"/>
      <c r="F11" s="48"/>
      <c r="G11" s="48"/>
      <c r="H11" s="48"/>
    </row>
    <row r="12" spans="3:8" ht="16.8">
      <c r="C12" s="50" t="s">
        <v>297</v>
      </c>
      <c r="D12" s="48"/>
      <c r="E12" s="48"/>
      <c r="F12" s="48"/>
      <c r="G12" s="48"/>
      <c r="H12" s="48"/>
    </row>
    <row r="13" spans="3:8" ht="16.8">
      <c r="C13" s="50"/>
      <c r="D13" s="48"/>
      <c r="E13" s="48"/>
      <c r="F13" s="48"/>
      <c r="G13" s="48"/>
      <c r="H13" s="48"/>
    </row>
    <row r="14" spans="3:8" ht="16.8">
      <c r="C14" s="50" t="s">
        <v>299</v>
      </c>
      <c r="D14" s="48"/>
      <c r="E14" s="48"/>
      <c r="F14" s="48"/>
      <c r="G14" s="48"/>
      <c r="H14" s="48"/>
    </row>
    <row r="15" spans="3:8">
      <c r="C15" s="51"/>
      <c r="D15" s="48"/>
      <c r="E15" s="48"/>
      <c r="F15" s="48"/>
      <c r="G15" s="48"/>
      <c r="H15" s="48"/>
    </row>
    <row r="16" spans="3:8" ht="16.8">
      <c r="C16" s="52" t="s">
        <v>300</v>
      </c>
      <c r="D16" s="48"/>
      <c r="E16" s="48"/>
      <c r="F16" s="48"/>
      <c r="G16" s="48"/>
      <c r="H16" s="48"/>
    </row>
    <row r="17" spans="3:8" ht="16.8">
      <c r="C17" s="52"/>
      <c r="D17" s="48"/>
      <c r="E17" s="48"/>
      <c r="F17" s="48"/>
      <c r="G17" s="48"/>
      <c r="H17" s="48"/>
    </row>
    <row r="18" spans="3:8" ht="16.8">
      <c r="C18" s="52" t="s">
        <v>301</v>
      </c>
      <c r="D18" s="48"/>
      <c r="E18" s="48"/>
      <c r="F18" s="48"/>
      <c r="G18" s="48"/>
      <c r="H18" s="48"/>
    </row>
    <row r="19" spans="3:8" ht="16.8">
      <c r="C19" s="52"/>
      <c r="D19" s="48"/>
      <c r="E19" s="48"/>
      <c r="F19" s="48"/>
      <c r="G19" s="48"/>
      <c r="H19" s="48"/>
    </row>
    <row r="20" spans="3:8" ht="16.8">
      <c r="C20" s="52" t="s">
        <v>302</v>
      </c>
      <c r="D20" s="48"/>
      <c r="E20" s="48"/>
      <c r="F20" s="48"/>
      <c r="G20" s="48"/>
      <c r="H20" s="48"/>
    </row>
    <row r="21" spans="3:8" ht="16.8">
      <c r="C21" s="52"/>
      <c r="D21" s="48"/>
      <c r="E21" s="48"/>
      <c r="F21" s="48"/>
      <c r="G21" s="48"/>
      <c r="H21" s="48"/>
    </row>
    <row r="22" spans="3:8" ht="16.8">
      <c r="C22" s="53" t="s">
        <v>273</v>
      </c>
      <c r="D22" s="48"/>
      <c r="E22" s="48"/>
      <c r="F22" s="48"/>
      <c r="G22" s="48"/>
      <c r="H22" s="48"/>
    </row>
    <row r="23" spans="3:8" ht="22.5" customHeight="1">
      <c r="C23" s="48"/>
      <c r="D23" s="53" t="s">
        <v>303</v>
      </c>
      <c r="E23" s="48"/>
      <c r="F23" s="48"/>
      <c r="G23" s="48"/>
      <c r="H23" s="48"/>
    </row>
    <row r="24" spans="3:8">
      <c r="C24" s="48"/>
      <c r="D24" s="48"/>
      <c r="E24" s="48"/>
      <c r="F24" s="48"/>
      <c r="G24" s="48"/>
      <c r="H24" s="48"/>
    </row>
    <row r="25" spans="3:8" ht="16.8">
      <c r="C25" s="48"/>
      <c r="D25" s="53" t="s">
        <v>304</v>
      </c>
      <c r="E25" s="48"/>
      <c r="F25" s="48"/>
      <c r="G25" s="48"/>
      <c r="H25" s="48"/>
    </row>
    <row r="26" spans="3:8">
      <c r="C26" s="48"/>
      <c r="D26" s="48"/>
      <c r="E26" s="48"/>
      <c r="F26" s="48"/>
      <c r="G26" s="48"/>
      <c r="H26" s="48"/>
    </row>
    <row r="27" spans="3:8" ht="16.8">
      <c r="C27" s="48"/>
      <c r="D27" s="53" t="s">
        <v>305</v>
      </c>
      <c r="E27" s="48"/>
      <c r="F27" s="48"/>
      <c r="G27" s="48"/>
      <c r="H27" s="48"/>
    </row>
    <row r="28" spans="3:8">
      <c r="C28" s="48"/>
      <c r="D28" s="48"/>
      <c r="E28" s="48"/>
      <c r="F28" s="48"/>
      <c r="G28" s="48"/>
      <c r="H28" s="48"/>
    </row>
    <row r="29" spans="3:8" ht="16.8">
      <c r="C29" s="48"/>
      <c r="D29" s="53" t="s">
        <v>306</v>
      </c>
      <c r="E29" s="48"/>
      <c r="F29" s="48"/>
      <c r="G29" s="48"/>
      <c r="H29" s="48"/>
    </row>
    <row r="30" spans="3:8" ht="16.8">
      <c r="C30" s="48"/>
      <c r="D30" s="53"/>
      <c r="E30" s="48"/>
      <c r="F30" s="48"/>
      <c r="G30" s="48"/>
      <c r="H30" s="48"/>
    </row>
    <row r="31" spans="3:8" ht="16.8">
      <c r="C31" s="52" t="s">
        <v>274</v>
      </c>
      <c r="D31" s="48"/>
      <c r="E31" s="48"/>
      <c r="F31" s="48"/>
      <c r="G31" s="48"/>
      <c r="H31" s="48"/>
    </row>
    <row r="32" spans="3:8" ht="21" customHeight="1">
      <c r="C32" s="52"/>
      <c r="D32" s="53" t="s">
        <v>307</v>
      </c>
      <c r="E32" s="48"/>
      <c r="F32" s="48"/>
      <c r="G32" s="48"/>
      <c r="H32" s="48"/>
    </row>
    <row r="33" spans="3:8" ht="16.8">
      <c r="C33" s="52"/>
      <c r="D33" s="53"/>
      <c r="E33" s="48"/>
      <c r="F33" s="48"/>
      <c r="G33" s="48"/>
      <c r="H33" s="48"/>
    </row>
    <row r="34" spans="3:8" ht="16.8">
      <c r="C34" s="52"/>
      <c r="D34" s="53" t="s">
        <v>308</v>
      </c>
      <c r="E34" s="48"/>
      <c r="F34" s="48"/>
      <c r="G34" s="48"/>
      <c r="H34" s="48"/>
    </row>
    <row r="35" spans="3:8" ht="16.8">
      <c r="C35" s="52"/>
      <c r="D35" s="53"/>
      <c r="E35" s="48"/>
      <c r="F35" s="48"/>
      <c r="G35" s="48"/>
      <c r="H35" s="48"/>
    </row>
    <row r="36" spans="3:8" ht="16.8">
      <c r="C36" s="52"/>
      <c r="D36" s="53" t="s">
        <v>309</v>
      </c>
      <c r="E36" s="48"/>
      <c r="F36" s="48"/>
      <c r="G36" s="48"/>
      <c r="H36" s="48"/>
    </row>
    <row r="37" spans="3:8" ht="16.8">
      <c r="C37" s="52"/>
      <c r="D37" s="53"/>
      <c r="E37" s="48"/>
      <c r="F37" s="48"/>
      <c r="G37" s="48"/>
      <c r="H37" s="48"/>
    </row>
    <row r="38" spans="3:8" ht="16.8">
      <c r="C38" s="52"/>
      <c r="D38" s="53" t="s">
        <v>310</v>
      </c>
      <c r="E38" s="48"/>
      <c r="F38" s="48"/>
      <c r="G38" s="48"/>
      <c r="H38" s="48"/>
    </row>
    <row r="39" spans="3:8" ht="16.8">
      <c r="C39" s="52"/>
      <c r="D39" s="53"/>
      <c r="E39" s="48"/>
      <c r="F39" s="48"/>
      <c r="G39" s="48"/>
      <c r="H39" s="48"/>
    </row>
    <row r="40" spans="3:8" ht="16.8">
      <c r="C40" s="52"/>
      <c r="D40" s="53" t="s">
        <v>311</v>
      </c>
      <c r="E40" s="48"/>
      <c r="F40" s="48"/>
      <c r="G40" s="48"/>
      <c r="H40" s="48"/>
    </row>
  </sheetData>
  <pageMargins left="0.7" right="0.7" top="0.75" bottom="0.75" header="0.3" footer="0.3"/>
  <pageSetup orientation="portrait" horizontalDpi="1200" verticalDpi="1200" r:id="rId1"/>
  <drawing r:id="rId2"/>
  <legacyDrawing r:id="rId3"/>
  <controls>
    <mc:AlternateContent xmlns:mc="http://schemas.openxmlformats.org/markup-compatibility/2006">
      <mc:Choice Requires="x14">
        <control shapeId="16398" r:id="rId4" name="CommandButton14">
          <controlPr defaultSize="0" autoLine="0" altText="Button, click to go to transmissibility section of advanced options page" r:id="rId5">
            <anchor moveWithCells="1">
              <from>
                <xdr:col>8</xdr:col>
                <xdr:colOff>365760</xdr:colOff>
                <xdr:row>25</xdr:row>
                <xdr:rowOff>106680</xdr:rowOff>
              </from>
              <to>
                <xdr:col>9</xdr:col>
                <xdr:colOff>121920</xdr:colOff>
                <xdr:row>27</xdr:row>
                <xdr:rowOff>7620</xdr:rowOff>
              </to>
            </anchor>
          </controlPr>
        </control>
      </mc:Choice>
      <mc:Fallback>
        <control shapeId="16398" r:id="rId4" name="CommandButton14"/>
      </mc:Fallback>
    </mc:AlternateContent>
    <mc:AlternateContent xmlns:mc="http://schemas.openxmlformats.org/markup-compatibility/2006">
      <mc:Choice Requires="x14">
        <control shapeId="16397" r:id="rId6" name="CommandButton13">
          <controlPr defaultSize="0" autoLine="0" altText="Button, click to go to full parameter spreadsheet for comparison model 4" r:id="rId7">
            <anchor moveWithCells="1">
              <from>
                <xdr:col>8</xdr:col>
                <xdr:colOff>365760</xdr:colOff>
                <xdr:row>38</xdr:row>
                <xdr:rowOff>114300</xdr:rowOff>
              </from>
              <to>
                <xdr:col>9</xdr:col>
                <xdr:colOff>137160</xdr:colOff>
                <xdr:row>39</xdr:row>
                <xdr:rowOff>198120</xdr:rowOff>
              </to>
            </anchor>
          </controlPr>
        </control>
      </mc:Choice>
      <mc:Fallback>
        <control shapeId="16397" r:id="rId6" name="CommandButton13"/>
      </mc:Fallback>
    </mc:AlternateContent>
    <mc:AlternateContent xmlns:mc="http://schemas.openxmlformats.org/markup-compatibility/2006">
      <mc:Choice Requires="x14">
        <control shapeId="16396" r:id="rId8" name="CommandButton12">
          <controlPr defaultSize="0" autoLine="0" altText="Button, click to go to full parameter spreadsheet for comparison model 3" r:id="rId9">
            <anchor moveWithCells="1">
              <from>
                <xdr:col>8</xdr:col>
                <xdr:colOff>365760</xdr:colOff>
                <xdr:row>36</xdr:row>
                <xdr:rowOff>106680</xdr:rowOff>
              </from>
              <to>
                <xdr:col>9</xdr:col>
                <xdr:colOff>137160</xdr:colOff>
                <xdr:row>37</xdr:row>
                <xdr:rowOff>190500</xdr:rowOff>
              </to>
            </anchor>
          </controlPr>
        </control>
      </mc:Choice>
      <mc:Fallback>
        <control shapeId="16396" r:id="rId8" name="CommandButton12"/>
      </mc:Fallback>
    </mc:AlternateContent>
    <mc:AlternateContent xmlns:mc="http://schemas.openxmlformats.org/markup-compatibility/2006">
      <mc:Choice Requires="x14">
        <control shapeId="16395" r:id="rId10" name="CommandButton11">
          <controlPr defaultSize="0" autoLine="0" altText="Button, click to go to full parameter spreadsheet for comparison model 2" r:id="rId11">
            <anchor moveWithCells="1">
              <from>
                <xdr:col>8</xdr:col>
                <xdr:colOff>365760</xdr:colOff>
                <xdr:row>34</xdr:row>
                <xdr:rowOff>114300</xdr:rowOff>
              </from>
              <to>
                <xdr:col>9</xdr:col>
                <xdr:colOff>137160</xdr:colOff>
                <xdr:row>35</xdr:row>
                <xdr:rowOff>198120</xdr:rowOff>
              </to>
            </anchor>
          </controlPr>
        </control>
      </mc:Choice>
      <mc:Fallback>
        <control shapeId="16395" r:id="rId10" name="CommandButton11"/>
      </mc:Fallback>
    </mc:AlternateContent>
    <mc:AlternateContent xmlns:mc="http://schemas.openxmlformats.org/markup-compatibility/2006">
      <mc:Choice Requires="x14">
        <control shapeId="16394" r:id="rId12" name="CommandButton10">
          <controlPr defaultSize="0" autoLine="0" altText="Button, click to go to full parameter spreadsheet for comparison model 1" r:id="rId13">
            <anchor moveWithCells="1">
              <from>
                <xdr:col>8</xdr:col>
                <xdr:colOff>365760</xdr:colOff>
                <xdr:row>32</xdr:row>
                <xdr:rowOff>114300</xdr:rowOff>
              </from>
              <to>
                <xdr:col>9</xdr:col>
                <xdr:colOff>137160</xdr:colOff>
                <xdr:row>33</xdr:row>
                <xdr:rowOff>198120</xdr:rowOff>
              </to>
            </anchor>
          </controlPr>
        </control>
      </mc:Choice>
      <mc:Fallback>
        <control shapeId="16394" r:id="rId12" name="CommandButton10"/>
      </mc:Fallback>
    </mc:AlternateContent>
    <mc:AlternateContent xmlns:mc="http://schemas.openxmlformats.org/markup-compatibility/2006">
      <mc:Choice Requires="x14">
        <control shapeId="16393" r:id="rId14" name="CommandButton9">
          <controlPr defaultSize="0" autoLine="0" altText="Button, click to go to infection prevalence section of advanced options page" r:id="rId15">
            <anchor moveWithCells="1">
              <from>
                <xdr:col>8</xdr:col>
                <xdr:colOff>365760</xdr:colOff>
                <xdr:row>27</xdr:row>
                <xdr:rowOff>114300</xdr:rowOff>
              </from>
              <to>
                <xdr:col>9</xdr:col>
                <xdr:colOff>121920</xdr:colOff>
                <xdr:row>29</xdr:row>
                <xdr:rowOff>15240</xdr:rowOff>
              </to>
            </anchor>
          </controlPr>
        </control>
      </mc:Choice>
      <mc:Fallback>
        <control shapeId="16393" r:id="rId14" name="CommandButton9"/>
      </mc:Fallback>
    </mc:AlternateContent>
    <mc:AlternateContent xmlns:mc="http://schemas.openxmlformats.org/markup-compatibility/2006">
      <mc:Choice Requires="x14">
        <control shapeId="16392" r:id="rId16" name="CommandButton8">
          <controlPr defaultSize="0" autoLine="0" altText="Button, click to go to new partner per year calculator of advanced options page" r:id="rId17">
            <anchor moveWithCells="1">
              <from>
                <xdr:col>8</xdr:col>
                <xdr:colOff>365760</xdr:colOff>
                <xdr:row>23</xdr:row>
                <xdr:rowOff>114300</xdr:rowOff>
              </from>
              <to>
                <xdr:col>9</xdr:col>
                <xdr:colOff>121920</xdr:colOff>
                <xdr:row>25</xdr:row>
                <xdr:rowOff>15240</xdr:rowOff>
              </to>
            </anchor>
          </controlPr>
        </control>
      </mc:Choice>
      <mc:Fallback>
        <control shapeId="16392" r:id="rId16" name="CommandButton8"/>
      </mc:Fallback>
    </mc:AlternateContent>
    <mc:AlternateContent xmlns:mc="http://schemas.openxmlformats.org/markup-compatibility/2006">
      <mc:Choice Requires="x14">
        <control shapeId="16391" r:id="rId18" name="CommandButton7">
          <controlPr defaultSize="0" autoLine="0" altText="Button, click to go to alternative population size calculator of advanced options page" r:id="rId19">
            <anchor moveWithCells="1">
              <from>
                <xdr:col>8</xdr:col>
                <xdr:colOff>365760</xdr:colOff>
                <xdr:row>21</xdr:row>
                <xdr:rowOff>190500</xdr:rowOff>
              </from>
              <to>
                <xdr:col>9</xdr:col>
                <xdr:colOff>121920</xdr:colOff>
                <xdr:row>22</xdr:row>
                <xdr:rowOff>243840</xdr:rowOff>
              </to>
            </anchor>
          </controlPr>
        </control>
      </mc:Choice>
      <mc:Fallback>
        <control shapeId="16391" r:id="rId18" name="CommandButton7"/>
      </mc:Fallback>
    </mc:AlternateContent>
    <mc:AlternateContent xmlns:mc="http://schemas.openxmlformats.org/markup-compatibility/2006">
      <mc:Choice Requires="x14">
        <control shapeId="16390" r:id="rId20" name="CommandButton6">
          <controlPr defaultSize="0" autoLine="0" altText="Button, click to go to full parameter spreadsheet for the baseline model" r:id="rId21">
            <anchor moveWithCells="1">
              <from>
                <xdr:col>8</xdr:col>
                <xdr:colOff>365760</xdr:colOff>
                <xdr:row>30</xdr:row>
                <xdr:rowOff>152400</xdr:rowOff>
              </from>
              <to>
                <xdr:col>9</xdr:col>
                <xdr:colOff>137160</xdr:colOff>
                <xdr:row>31</xdr:row>
                <xdr:rowOff>236220</xdr:rowOff>
              </to>
            </anchor>
          </controlPr>
        </control>
      </mc:Choice>
      <mc:Fallback>
        <control shapeId="16390" r:id="rId20" name="CommandButton6"/>
      </mc:Fallback>
    </mc:AlternateContent>
    <mc:AlternateContent xmlns:mc="http://schemas.openxmlformats.org/markup-compatibility/2006">
      <mc:Choice Requires="x14">
        <control shapeId="16389" r:id="rId22" name="CommandButton5">
          <controlPr defaultSize="0" autoLine="0" altText="Button, click to go to results page _x000d__x000a_" r:id="rId23">
            <anchor moveWithCells="1">
              <from>
                <xdr:col>8</xdr:col>
                <xdr:colOff>365760</xdr:colOff>
                <xdr:row>16</xdr:row>
                <xdr:rowOff>137160</xdr:rowOff>
              </from>
              <to>
                <xdr:col>9</xdr:col>
                <xdr:colOff>137160</xdr:colOff>
                <xdr:row>17</xdr:row>
                <xdr:rowOff>198120</xdr:rowOff>
              </to>
            </anchor>
          </controlPr>
        </control>
      </mc:Choice>
      <mc:Fallback>
        <control shapeId="16389" r:id="rId22" name="CommandButton5"/>
      </mc:Fallback>
    </mc:AlternateContent>
    <mc:AlternateContent xmlns:mc="http://schemas.openxmlformats.org/markup-compatibility/2006">
      <mc:Choice Requires="x14">
        <control shapeId="16388" r:id="rId24" name="CommandButton4">
          <controlPr autoLine="0" altText="Button, click to go to interventions page_x000d__x000a_" r:id="rId25">
            <anchor moveWithCells="1">
              <from>
                <xdr:col>8</xdr:col>
                <xdr:colOff>365760</xdr:colOff>
                <xdr:row>14</xdr:row>
                <xdr:rowOff>106680</xdr:rowOff>
              </from>
              <to>
                <xdr:col>9</xdr:col>
                <xdr:colOff>137160</xdr:colOff>
                <xdr:row>16</xdr:row>
                <xdr:rowOff>7620</xdr:rowOff>
              </to>
            </anchor>
          </controlPr>
        </control>
      </mc:Choice>
      <mc:Fallback>
        <control shapeId="16388" r:id="rId24" name="CommandButton4"/>
      </mc:Fallback>
    </mc:AlternateContent>
    <mc:AlternateContent xmlns:mc="http://schemas.openxmlformats.org/markup-compatibility/2006">
      <mc:Choice Requires="x14">
        <control shapeId="16387" r:id="rId26" name="CommandButton3">
          <controlPr defaultSize="0" autoLine="0" altText="Button, click to go to diagnoses page _x000d__x000a_" r:id="rId27">
            <anchor moveWithCells="1">
              <from>
                <xdr:col>8</xdr:col>
                <xdr:colOff>365760</xdr:colOff>
                <xdr:row>12</xdr:row>
                <xdr:rowOff>137160</xdr:rowOff>
              </from>
              <to>
                <xdr:col>9</xdr:col>
                <xdr:colOff>137160</xdr:colOff>
                <xdr:row>13</xdr:row>
                <xdr:rowOff>198120</xdr:rowOff>
              </to>
            </anchor>
          </controlPr>
        </control>
      </mc:Choice>
      <mc:Fallback>
        <control shapeId="16387" r:id="rId26" name="CommandButton3"/>
      </mc:Fallback>
    </mc:AlternateContent>
    <mc:AlternateContent xmlns:mc="http://schemas.openxmlformats.org/markup-compatibility/2006">
      <mc:Choice Requires="x14">
        <control shapeId="16386" r:id="rId28" name="CommandButton2">
          <controlPr defaultSize="0" autoLine="0" altText="Button, click to go to sexual behavior page " r:id="rId29">
            <anchor moveWithCells="1">
              <from>
                <xdr:col>8</xdr:col>
                <xdr:colOff>365760</xdr:colOff>
                <xdr:row>10</xdr:row>
                <xdr:rowOff>137160</xdr:rowOff>
              </from>
              <to>
                <xdr:col>9</xdr:col>
                <xdr:colOff>137160</xdr:colOff>
                <xdr:row>11</xdr:row>
                <xdr:rowOff>198120</xdr:rowOff>
              </to>
            </anchor>
          </controlPr>
        </control>
      </mc:Choice>
      <mc:Fallback>
        <control shapeId="16386" r:id="rId28" name="CommandButton2"/>
      </mc:Fallback>
    </mc:AlternateContent>
    <mc:AlternateContent xmlns:mc="http://schemas.openxmlformats.org/markup-compatibility/2006">
      <mc:Choice Requires="x14">
        <control shapeId="16385" r:id="rId30" name="CommandButton1">
          <controlPr defaultSize="0" autoLine="0" altText="Button, click to go to population sized page " r:id="rId31">
            <anchor moveWithCells="1">
              <from>
                <xdr:col>8</xdr:col>
                <xdr:colOff>365760</xdr:colOff>
                <xdr:row>8</xdr:row>
                <xdr:rowOff>106680</xdr:rowOff>
              </from>
              <to>
                <xdr:col>9</xdr:col>
                <xdr:colOff>137160</xdr:colOff>
                <xdr:row>10</xdr:row>
                <xdr:rowOff>7620</xdr:rowOff>
              </to>
            </anchor>
          </controlPr>
        </control>
      </mc:Choice>
      <mc:Fallback>
        <control shapeId="16385" r:id="rId30" name="CommandButton1"/>
      </mc:Fallback>
    </mc:AlternateContent>
    <mc:AlternateContent xmlns:mc="http://schemas.openxmlformats.org/markup-compatibility/2006">
      <mc:Choice Requires="x14">
        <control shapeId="16399" r:id="rId32" name="CommandButton15">
          <controlPr defaultSize="0" autoLine="0" altText="button, click to go to export model results page" r:id="rId33">
            <anchor moveWithCells="1">
              <from>
                <xdr:col>8</xdr:col>
                <xdr:colOff>365760</xdr:colOff>
                <xdr:row>18</xdr:row>
                <xdr:rowOff>144780</xdr:rowOff>
              </from>
              <to>
                <xdr:col>9</xdr:col>
                <xdr:colOff>121920</xdr:colOff>
                <xdr:row>19</xdr:row>
                <xdr:rowOff>198120</xdr:rowOff>
              </to>
            </anchor>
          </controlPr>
        </control>
      </mc:Choice>
      <mc:Fallback>
        <control shapeId="16399" r:id="rId32" name="CommandButton15"/>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theme="9" tint="0.39997558519241921"/>
    <pageSetUpPr autoPageBreaks="0"/>
  </sheetPr>
  <dimension ref="B3:W66"/>
  <sheetViews>
    <sheetView zoomScale="80" zoomScaleNormal="80" workbookViewId="0">
      <selection activeCell="G7" sqref="G7"/>
    </sheetView>
  </sheetViews>
  <sheetFormatPr defaultColWidth="9.109375" defaultRowHeight="13.8"/>
  <cols>
    <col min="1" max="2" width="9.109375" style="48" customWidth="1"/>
    <col min="3" max="3" width="9.109375" style="48"/>
    <col min="4" max="4" width="11.33203125" style="48" customWidth="1"/>
    <col min="5" max="5" width="17.109375" style="48" customWidth="1"/>
    <col min="6" max="9" width="14.5546875" style="48" customWidth="1"/>
    <col min="10" max="11" width="9.109375" style="48"/>
    <col min="12" max="12" width="9.5546875" style="48" bestFit="1" customWidth="1"/>
    <col min="13" max="17" width="9.109375" style="48"/>
    <col min="18" max="18" width="12.44140625" style="48" bestFit="1" customWidth="1"/>
    <col min="19" max="19" width="12.6640625" style="48" customWidth="1"/>
    <col min="20" max="20" width="13.6640625" style="48" customWidth="1"/>
    <col min="21" max="21" width="9.5546875" style="48" bestFit="1" customWidth="1"/>
    <col min="22" max="16384" width="9.109375" style="48"/>
  </cols>
  <sheetData>
    <row r="3" spans="2:18" ht="15" customHeight="1">
      <c r="D3" s="54"/>
    </row>
    <row r="4" spans="2:18" ht="24.6">
      <c r="B4" s="54" t="s">
        <v>44</v>
      </c>
      <c r="C4" s="54"/>
    </row>
    <row r="6" spans="2:18">
      <c r="C6" s="139"/>
      <c r="D6" s="139"/>
      <c r="E6" s="139"/>
      <c r="F6" s="139"/>
      <c r="G6" s="139"/>
      <c r="H6" s="139"/>
      <c r="I6" s="139"/>
      <c r="J6" s="139"/>
      <c r="K6" s="139"/>
      <c r="L6" s="139"/>
      <c r="M6" s="139"/>
      <c r="N6" s="139"/>
      <c r="O6" s="139"/>
      <c r="P6" s="139"/>
      <c r="Q6" s="139"/>
      <c r="R6" s="139"/>
    </row>
    <row r="7" spans="2:18" ht="15.6">
      <c r="C7" s="139"/>
      <c r="D7" s="139"/>
      <c r="E7" s="139"/>
      <c r="F7" s="139"/>
      <c r="G7" s="139"/>
      <c r="H7" s="139"/>
      <c r="I7" s="511" t="s">
        <v>177</v>
      </c>
      <c r="J7" s="139"/>
      <c r="K7" s="139"/>
      <c r="L7" s="139"/>
      <c r="M7" s="139"/>
      <c r="N7" s="139"/>
      <c r="O7" s="139"/>
      <c r="P7" s="139"/>
      <c r="Q7" s="139"/>
      <c r="R7" s="139"/>
    </row>
    <row r="8" spans="2:18" ht="15.6">
      <c r="C8" s="139"/>
      <c r="D8" s="139"/>
      <c r="E8" s="139"/>
      <c r="F8" s="139"/>
      <c r="G8" s="139"/>
      <c r="H8" s="139"/>
      <c r="I8" s="379" t="s">
        <v>178</v>
      </c>
      <c r="J8" s="139"/>
      <c r="K8" s="139"/>
      <c r="L8" s="139"/>
      <c r="M8" s="139"/>
      <c r="N8" s="139"/>
      <c r="O8" s="139"/>
      <c r="P8" s="139"/>
      <c r="Q8" s="139"/>
      <c r="R8" s="139"/>
    </row>
    <row r="9" spans="2:18">
      <c r="C9" s="139"/>
      <c r="D9" s="139"/>
      <c r="E9" s="139"/>
      <c r="F9" s="139"/>
      <c r="G9" s="139"/>
      <c r="H9" s="139"/>
      <c r="I9" s="139"/>
      <c r="J9" s="139"/>
      <c r="K9" s="139"/>
      <c r="L9" s="139"/>
      <c r="M9" s="139"/>
      <c r="N9" s="139"/>
      <c r="O9" s="139"/>
      <c r="P9" s="139"/>
      <c r="Q9" s="139"/>
      <c r="R9" s="139"/>
    </row>
    <row r="10" spans="2:18" ht="15.6">
      <c r="C10" s="139"/>
      <c r="D10" s="139"/>
      <c r="E10" s="139"/>
      <c r="F10" s="510" t="s">
        <v>174</v>
      </c>
      <c r="G10" s="139"/>
      <c r="H10" s="139"/>
      <c r="I10" s="139"/>
      <c r="J10" s="139"/>
      <c r="K10" s="139"/>
      <c r="L10" s="139"/>
      <c r="M10" s="139"/>
      <c r="N10" s="139"/>
      <c r="O10" s="139"/>
      <c r="P10" s="139"/>
      <c r="Q10" s="139"/>
      <c r="R10" s="139"/>
    </row>
    <row r="11" spans="2:18" ht="15.6">
      <c r="C11" s="139"/>
      <c r="D11" s="139"/>
      <c r="E11" s="139"/>
      <c r="F11" s="510" t="s">
        <v>175</v>
      </c>
      <c r="G11" s="139"/>
      <c r="H11" s="139"/>
      <c r="I11" s="139"/>
      <c r="J11" s="139"/>
      <c r="K11" s="139"/>
      <c r="L11" s="139"/>
      <c r="M11" s="139"/>
      <c r="N11" s="139"/>
      <c r="O11" s="139"/>
      <c r="P11" s="139"/>
      <c r="Q11" s="139"/>
      <c r="R11" s="139"/>
    </row>
    <row r="12" spans="2:18" ht="15.6">
      <c r="C12" s="139"/>
      <c r="D12" s="139"/>
      <c r="E12" s="139"/>
      <c r="F12" s="510" t="s">
        <v>176</v>
      </c>
      <c r="G12" s="139"/>
      <c r="H12" s="139"/>
      <c r="I12" s="139"/>
      <c r="J12" s="139"/>
      <c r="K12" s="139"/>
      <c r="L12" s="139"/>
      <c r="M12" s="139"/>
      <c r="N12" s="139"/>
      <c r="O12" s="139"/>
      <c r="P12" s="139"/>
      <c r="Q12" s="139"/>
      <c r="R12" s="139"/>
    </row>
    <row r="13" spans="2:18" ht="15" customHeight="1">
      <c r="C13" s="139"/>
      <c r="D13" s="139"/>
      <c r="E13" s="139"/>
      <c r="F13" s="139"/>
      <c r="G13" s="139"/>
      <c r="H13" s="139"/>
      <c r="I13" s="139"/>
      <c r="J13" s="139"/>
      <c r="K13" s="139"/>
      <c r="L13" s="139"/>
      <c r="M13" s="139"/>
      <c r="N13" s="139"/>
      <c r="O13" s="139"/>
      <c r="P13" s="139"/>
      <c r="Q13" s="139"/>
      <c r="R13" s="139"/>
    </row>
    <row r="14" spans="2:18" ht="26.25" customHeight="1">
      <c r="C14" s="139"/>
      <c r="D14" s="139"/>
      <c r="E14" s="139"/>
      <c r="F14" s="139"/>
      <c r="G14" s="139"/>
      <c r="H14" s="139"/>
      <c r="I14" s="511" t="s">
        <v>179</v>
      </c>
      <c r="J14" s="139"/>
      <c r="K14" s="139"/>
      <c r="L14" s="139"/>
      <c r="M14" s="139"/>
      <c r="N14" s="139"/>
      <c r="O14" s="139"/>
      <c r="P14" s="139"/>
      <c r="Q14" s="139"/>
      <c r="R14" s="139"/>
    </row>
    <row r="15" spans="2:18" ht="15.6">
      <c r="C15" s="139"/>
      <c r="D15" s="139"/>
      <c r="E15" s="139"/>
      <c r="F15" s="139"/>
      <c r="G15" s="139"/>
      <c r="H15" s="139"/>
      <c r="I15" s="379" t="s">
        <v>296</v>
      </c>
      <c r="J15" s="139"/>
      <c r="K15" s="139"/>
      <c r="L15" s="139"/>
      <c r="M15" s="139"/>
      <c r="N15" s="139"/>
      <c r="O15" s="139"/>
      <c r="P15" s="139"/>
      <c r="Q15" s="139"/>
      <c r="R15" s="139"/>
    </row>
    <row r="16" spans="2:18" ht="15.6">
      <c r="C16" s="139"/>
      <c r="D16" s="139"/>
      <c r="E16" s="139"/>
      <c r="F16" s="139"/>
      <c r="G16" s="139"/>
      <c r="H16" s="139"/>
      <c r="I16" s="513"/>
      <c r="J16" s="139"/>
      <c r="K16" s="139"/>
      <c r="L16" s="139"/>
      <c r="M16" s="139"/>
      <c r="N16" s="139"/>
      <c r="O16" s="139"/>
      <c r="P16" s="139"/>
      <c r="Q16" s="139"/>
      <c r="R16" s="139"/>
    </row>
    <row r="17" spans="2:20" ht="15.6">
      <c r="C17" s="139"/>
      <c r="D17" s="139"/>
      <c r="E17" s="139"/>
      <c r="F17" s="139"/>
      <c r="G17" s="139"/>
      <c r="H17" s="139"/>
      <c r="I17" s="511" t="s">
        <v>262</v>
      </c>
      <c r="J17" s="139"/>
      <c r="K17" s="139"/>
      <c r="L17" s="139"/>
      <c r="M17" s="139"/>
      <c r="N17" s="139"/>
      <c r="O17" s="139"/>
      <c r="P17" s="139"/>
      <c r="Q17" s="139"/>
      <c r="R17" s="139"/>
    </row>
    <row r="18" spans="2:20" ht="15.6">
      <c r="C18" s="512"/>
      <c r="D18" s="139"/>
      <c r="E18" s="139"/>
      <c r="F18" s="139"/>
      <c r="G18" s="139"/>
      <c r="H18" s="139"/>
      <c r="I18" s="379" t="s">
        <v>263</v>
      </c>
      <c r="J18" s="139"/>
      <c r="K18" s="139"/>
      <c r="L18" s="139"/>
      <c r="M18" s="139"/>
      <c r="N18" s="139"/>
      <c r="O18" s="139"/>
      <c r="P18" s="139"/>
      <c r="Q18" s="139"/>
      <c r="R18" s="139"/>
    </row>
    <row r="19" spans="2:20">
      <c r="C19" s="512"/>
      <c r="D19" s="139"/>
      <c r="E19" s="139"/>
      <c r="F19" s="139"/>
      <c r="G19" s="139"/>
      <c r="H19" s="139"/>
      <c r="I19" s="139"/>
      <c r="J19" s="139"/>
      <c r="K19" s="139"/>
      <c r="L19" s="139"/>
      <c r="M19" s="139"/>
      <c r="N19" s="139"/>
      <c r="O19" s="139"/>
      <c r="P19" s="139"/>
      <c r="Q19" s="139"/>
      <c r="R19" s="139"/>
    </row>
    <row r="20" spans="2:20" ht="15" customHeight="1">
      <c r="B20" s="53"/>
      <c r="D20" s="57"/>
      <c r="E20" s="57"/>
      <c r="F20" s="57"/>
      <c r="G20" s="57"/>
      <c r="H20" s="57"/>
      <c r="I20" s="57"/>
      <c r="J20" s="57"/>
      <c r="K20" s="57"/>
      <c r="L20" s="57"/>
    </row>
    <row r="21" spans="2:20" ht="13.5" customHeight="1">
      <c r="C21" s="53" t="s">
        <v>275</v>
      </c>
      <c r="G21" s="58"/>
    </row>
    <row r="22" spans="2:20" ht="13.5" customHeight="1">
      <c r="C22" s="82"/>
      <c r="G22" s="59"/>
    </row>
    <row r="23" spans="2:20" ht="18" customHeight="1"/>
    <row r="24" spans="2:20" ht="15" customHeight="1">
      <c r="E24" s="60"/>
      <c r="J24" s="61"/>
    </row>
    <row r="25" spans="2:20" ht="15" customHeight="1"/>
    <row r="26" spans="2:20" ht="15" customHeight="1">
      <c r="C26" s="62"/>
    </row>
    <row r="27" spans="2:20" ht="15" customHeight="1">
      <c r="C27" s="53" t="s">
        <v>254</v>
      </c>
    </row>
    <row r="28" spans="2:20" ht="15" customHeight="1">
      <c r="C28" s="82"/>
    </row>
    <row r="29" spans="2:20" ht="30.75" customHeight="1">
      <c r="G29" s="58" t="s">
        <v>7</v>
      </c>
    </row>
    <row r="30" spans="2:20">
      <c r="F30" s="507" t="s">
        <v>4</v>
      </c>
      <c r="G30" s="507" t="s">
        <v>5</v>
      </c>
      <c r="H30" s="507" t="s">
        <v>6</v>
      </c>
      <c r="R30" s="302"/>
      <c r="S30" s="302"/>
      <c r="T30" s="302"/>
    </row>
    <row r="31" spans="2:20">
      <c r="E31" s="63" t="s">
        <v>107</v>
      </c>
      <c r="F31" s="315"/>
      <c r="G31" s="315"/>
      <c r="H31" s="315"/>
      <c r="R31" s="399"/>
      <c r="S31" s="302"/>
      <c r="T31" s="302"/>
    </row>
    <row r="32" spans="2:20">
      <c r="E32" s="63" t="s">
        <v>106</v>
      </c>
      <c r="F32" s="315"/>
      <c r="G32" s="315"/>
      <c r="H32" s="315"/>
      <c r="R32" s="399"/>
    </row>
    <row r="34" spans="3:23">
      <c r="H34" s="316"/>
      <c r="W34" s="82"/>
    </row>
    <row r="36" spans="3:23" ht="16.8">
      <c r="C36" s="53" t="s">
        <v>255</v>
      </c>
      <c r="W36" s="82"/>
    </row>
    <row r="37" spans="3:23" ht="14.25" customHeight="1">
      <c r="C37" s="82"/>
      <c r="E37" s="514"/>
      <c r="F37" s="514"/>
      <c r="G37" s="514"/>
      <c r="H37" s="514"/>
      <c r="I37" s="514"/>
      <c r="J37" s="514"/>
      <c r="K37" s="514"/>
      <c r="L37" s="514"/>
      <c r="M37" s="514"/>
      <c r="N37" s="514"/>
      <c r="O37" s="514"/>
      <c r="P37" s="514"/>
      <c r="Q37" s="514"/>
    </row>
    <row r="38" spans="3:23">
      <c r="C38" s="82"/>
      <c r="G38" s="58" t="s">
        <v>7</v>
      </c>
    </row>
    <row r="39" spans="3:23">
      <c r="F39" s="58" t="s">
        <v>4</v>
      </c>
      <c r="G39" s="58" t="s">
        <v>5</v>
      </c>
      <c r="H39" s="58" t="s">
        <v>6</v>
      </c>
    </row>
    <row r="40" spans="3:23">
      <c r="E40" s="65" t="s">
        <v>63</v>
      </c>
      <c r="F40" s="64"/>
      <c r="G40" s="64"/>
      <c r="H40" s="64"/>
    </row>
    <row r="41" spans="3:23">
      <c r="E41" s="51" t="s">
        <v>97</v>
      </c>
      <c r="F41" s="64"/>
      <c r="G41" s="64"/>
      <c r="H41" s="64"/>
    </row>
    <row r="42" spans="3:23">
      <c r="E42" s="66" t="s">
        <v>64</v>
      </c>
      <c r="F42" s="67"/>
      <c r="G42" s="64"/>
      <c r="H42" s="64"/>
      <c r="R42" s="302"/>
      <c r="S42" s="302"/>
      <c r="T42" s="302"/>
      <c r="U42" s="302"/>
    </row>
    <row r="44" spans="3:23" ht="16.5" customHeight="1">
      <c r="D44" s="515" t="s">
        <v>126</v>
      </c>
    </row>
    <row r="45" spans="3:23" ht="5.25" customHeight="1"/>
    <row r="46" spans="3:23" ht="3.75" customHeight="1"/>
    <row r="47" spans="3:23">
      <c r="U47" s="316"/>
    </row>
    <row r="48" spans="3:23">
      <c r="D48" s="68"/>
      <c r="E48" s="68"/>
      <c r="F48" s="68"/>
      <c r="G48" s="68"/>
      <c r="H48" s="68"/>
      <c r="I48" s="68"/>
      <c r="J48" s="68"/>
    </row>
    <row r="49" spans="3:20" ht="16.8">
      <c r="D49" s="68"/>
      <c r="E49" s="489"/>
      <c r="F49" s="489"/>
      <c r="G49" s="489" t="s">
        <v>261</v>
      </c>
      <c r="H49" s="489"/>
      <c r="I49" s="489"/>
      <c r="J49" s="68"/>
    </row>
    <row r="50" spans="3:20">
      <c r="D50" s="68"/>
      <c r="E50" s="68"/>
      <c r="F50" s="68"/>
      <c r="G50" s="69"/>
      <c r="H50" s="68"/>
      <c r="I50" s="70"/>
      <c r="J50" s="68"/>
    </row>
    <row r="51" spans="3:20">
      <c r="D51" s="68"/>
      <c r="E51" s="68"/>
      <c r="F51" s="69" t="s">
        <v>4</v>
      </c>
      <c r="G51" s="69" t="s">
        <v>5</v>
      </c>
      <c r="H51" s="69" t="s">
        <v>6</v>
      </c>
      <c r="I51" s="71"/>
      <c r="J51" s="68"/>
      <c r="T51" s="56"/>
    </row>
    <row r="52" spans="3:20">
      <c r="D52" s="68"/>
      <c r="E52" s="72" t="s">
        <v>108</v>
      </c>
      <c r="F52" s="97">
        <f>$E$24*F$31*F40</f>
        <v>0</v>
      </c>
      <c r="G52" s="97">
        <f t="shared" ref="G52:H53" si="0">$E$24*G$31*G40</f>
        <v>0</v>
      </c>
      <c r="H52" s="97">
        <f>$E$24*H$31*H40</f>
        <v>0</v>
      </c>
      <c r="I52" s="71"/>
      <c r="J52" s="68"/>
      <c r="L52" s="302"/>
    </row>
    <row r="53" spans="3:20">
      <c r="D53" s="68"/>
      <c r="E53" s="72" t="s">
        <v>109</v>
      </c>
      <c r="F53" s="97">
        <f>$E$24*F$31*F41</f>
        <v>0</v>
      </c>
      <c r="G53" s="97">
        <f>$E$24*G$31*G41</f>
        <v>0</v>
      </c>
      <c r="H53" s="97">
        <f t="shared" si="0"/>
        <v>0</v>
      </c>
      <c r="I53" s="70"/>
      <c r="J53" s="68"/>
      <c r="O53" s="644"/>
    </row>
    <row r="54" spans="3:20">
      <c r="D54" s="68"/>
      <c r="E54" s="73" t="s">
        <v>110</v>
      </c>
      <c r="F54" s="97">
        <f>$E$24*F32*F42</f>
        <v>0</v>
      </c>
      <c r="G54" s="97">
        <f t="shared" ref="G54" si="1">$E$24*G32*G42</f>
        <v>0</v>
      </c>
      <c r="H54" s="97">
        <f>$E$24*H32*H42</f>
        <v>0</v>
      </c>
      <c r="I54" s="70"/>
      <c r="J54" s="68"/>
    </row>
    <row r="55" spans="3:20">
      <c r="D55" s="68"/>
      <c r="E55" s="74"/>
      <c r="F55" s="75"/>
      <c r="G55" s="70"/>
      <c r="H55" s="70"/>
      <c r="I55" s="70"/>
      <c r="J55" s="68"/>
    </row>
    <row r="56" spans="3:20">
      <c r="D56" s="68"/>
      <c r="E56" s="74"/>
      <c r="F56" s="404"/>
      <c r="G56" s="76" t="s">
        <v>124</v>
      </c>
      <c r="H56" s="70"/>
      <c r="I56" s="76"/>
      <c r="J56" s="68"/>
    </row>
    <row r="57" spans="3:20">
      <c r="D57" s="68"/>
      <c r="E57" s="166"/>
      <c r="F57" s="75"/>
      <c r="G57" s="75"/>
      <c r="H57" s="75"/>
      <c r="I57" s="70"/>
      <c r="J57" s="68"/>
    </row>
    <row r="58" spans="3:20">
      <c r="E58" s="77"/>
      <c r="F58" s="78"/>
      <c r="G58" s="78"/>
      <c r="H58" s="78"/>
      <c r="I58" s="61"/>
    </row>
    <row r="59" spans="3:20" ht="16.8">
      <c r="C59" s="53" t="s">
        <v>256</v>
      </c>
    </row>
    <row r="60" spans="3:20" ht="21" customHeight="1">
      <c r="C60" s="517"/>
    </row>
    <row r="61" spans="3:20">
      <c r="G61" s="322" t="s">
        <v>7</v>
      </c>
      <c r="I61" s="161"/>
    </row>
    <row r="62" spans="3:20">
      <c r="F62" s="322" t="s">
        <v>4</v>
      </c>
      <c r="G62" s="322" t="s">
        <v>5</v>
      </c>
      <c r="H62" s="322">
        <v>18</v>
      </c>
      <c r="I62" s="161"/>
    </row>
    <row r="63" spans="3:20">
      <c r="E63" s="162" t="s">
        <v>12</v>
      </c>
      <c r="F63" s="93">
        <v>6324725</v>
      </c>
      <c r="G63" s="93">
        <v>4331557</v>
      </c>
      <c r="H63" s="93">
        <v>2158502</v>
      </c>
      <c r="I63" s="98"/>
    </row>
    <row r="64" spans="3:20" ht="15" customHeight="1">
      <c r="E64" s="320" t="s">
        <v>13</v>
      </c>
      <c r="F64" s="93">
        <v>6075700</v>
      </c>
      <c r="G64" s="93">
        <v>4138668</v>
      </c>
      <c r="H64" s="93">
        <v>2060801</v>
      </c>
      <c r="I64" s="98"/>
    </row>
    <row r="65" spans="5:9">
      <c r="E65" s="100"/>
      <c r="F65" s="402"/>
      <c r="G65" s="402"/>
      <c r="H65" s="402"/>
      <c r="I65" s="518" t="s">
        <v>181</v>
      </c>
    </row>
    <row r="66" spans="5:9">
      <c r="E66" s="320" t="s">
        <v>180</v>
      </c>
      <c r="F66" s="97">
        <f>F63+F64</f>
        <v>12400425</v>
      </c>
      <c r="G66" s="97">
        <f>G63+G64</f>
        <v>8470225</v>
      </c>
      <c r="H66" s="97">
        <f>H63+H64</f>
        <v>4219303</v>
      </c>
      <c r="I66" s="97">
        <f>F66+G66+H66</f>
        <v>25089953</v>
      </c>
    </row>
  </sheetData>
  <protectedRanges>
    <protectedRange sqref="F63:H64" name="step4"/>
    <protectedRange sqref="E24" name="step1"/>
    <protectedRange sqref="F31:H32" name="step2"/>
    <protectedRange sqref="F40:H42" name="step3"/>
  </protectedRanges>
  <pageMargins left="0.7" right="0.7" top="0.75" bottom="0.75" header="0.3" footer="0.3"/>
  <pageSetup orientation="portrait" horizontalDpi="1200" verticalDpi="1200" r:id="rId1"/>
  <drawing r:id="rId2"/>
  <legacyDrawing r:id="rId3"/>
  <controls>
    <mc:AlternateContent xmlns:mc="http://schemas.openxmlformats.org/markup-compatibility/2006">
      <mc:Choice Requires="x14">
        <control shapeId="4115" r:id="rId4" name="CommandButton7">
          <controlPr defaultSize="0" autoLine="0" altText="Button, click to reset the values for the proportion of adolescents who have sexually debuted into the three sexual partnering groups in your YRBS dataset" r:id="rId5">
            <anchor moveWithCells="1">
              <from>
                <xdr:col>11</xdr:col>
                <xdr:colOff>76200</xdr:colOff>
                <xdr:row>38</xdr:row>
                <xdr:rowOff>152400</xdr:rowOff>
              </from>
              <to>
                <xdr:col>13</xdr:col>
                <xdr:colOff>556260</xdr:colOff>
                <xdr:row>42</xdr:row>
                <xdr:rowOff>137160</xdr:rowOff>
              </to>
            </anchor>
          </controlPr>
        </control>
      </mc:Choice>
      <mc:Fallback>
        <control shapeId="4115" r:id="rId4" name="CommandButton7"/>
      </mc:Fallback>
    </mc:AlternateContent>
    <mc:AlternateContent xmlns:mc="http://schemas.openxmlformats.org/markup-compatibility/2006">
      <mc:Choice Requires="x14">
        <control shapeId="4114" r:id="rId6" name="CommandButton5">
          <controlPr defaultSize="0" autoLine="0" altText="Button, click to set table to the default values for the proportion of adolescents who have sexually debuted into the three sexual partnering groups in your YRBS dataset" r:id="rId7">
            <anchor moveWithCells="1">
              <from>
                <xdr:col>8</xdr:col>
                <xdr:colOff>365760</xdr:colOff>
                <xdr:row>38</xdr:row>
                <xdr:rowOff>152400</xdr:rowOff>
              </from>
              <to>
                <xdr:col>10</xdr:col>
                <xdr:colOff>548640</xdr:colOff>
                <xdr:row>42</xdr:row>
                <xdr:rowOff>137160</xdr:rowOff>
              </to>
            </anchor>
          </controlPr>
        </control>
      </mc:Choice>
      <mc:Fallback>
        <control shapeId="4114" r:id="rId6" name="CommandButton5"/>
      </mc:Fallback>
    </mc:AlternateContent>
    <mc:AlternateContent xmlns:mc="http://schemas.openxmlformats.org/markup-compatibility/2006">
      <mc:Choice Requires="x14">
        <control shapeId="4113" r:id="rId8" name="CommandButton3">
          <controlPr defaultSize="0" autoLine="0" altText="Button, click to reset the values for the weighted proportion of males and females by age group in your YRBS dataset" r:id="rId9">
            <anchor moveWithCells="1">
              <from>
                <xdr:col>11</xdr:col>
                <xdr:colOff>7620</xdr:colOff>
                <xdr:row>29</xdr:row>
                <xdr:rowOff>60960</xdr:rowOff>
              </from>
              <to>
                <xdr:col>13</xdr:col>
                <xdr:colOff>533400</xdr:colOff>
                <xdr:row>33</xdr:row>
                <xdr:rowOff>45720</xdr:rowOff>
              </to>
            </anchor>
          </controlPr>
        </control>
      </mc:Choice>
      <mc:Fallback>
        <control shapeId="4113" r:id="rId8" name="CommandButton3"/>
      </mc:Fallback>
    </mc:AlternateContent>
    <mc:AlternateContent xmlns:mc="http://schemas.openxmlformats.org/markup-compatibility/2006">
      <mc:Choice Requires="x14">
        <control shapeId="4112" r:id="rId10" name="CommandButton4">
          <controlPr defaultSize="0" autoLine="0" altText="Button, click to set table to the default values for the weighted proportion of males and females by age group in your YRBS dataset" r:id="rId11">
            <anchor moveWithCells="1">
              <from>
                <xdr:col>8</xdr:col>
                <xdr:colOff>289560</xdr:colOff>
                <xdr:row>29</xdr:row>
                <xdr:rowOff>60960</xdr:rowOff>
              </from>
              <to>
                <xdr:col>10</xdr:col>
                <xdr:colOff>472440</xdr:colOff>
                <xdr:row>33</xdr:row>
                <xdr:rowOff>45720</xdr:rowOff>
              </to>
            </anchor>
          </controlPr>
        </control>
      </mc:Choice>
      <mc:Fallback>
        <control shapeId="4112" r:id="rId10" name="CommandButton4"/>
      </mc:Fallback>
    </mc:AlternateContent>
    <mc:AlternateContent xmlns:mc="http://schemas.openxmlformats.org/markup-compatibility/2006">
      <mc:Choice Requires="x14">
        <control shapeId="4110" r:id="rId12" name="CommandButton1">
          <controlPr defaultSize="0" autoLine="0" altText="Use Alternative Population Size Calculator " r:id="rId13">
            <anchor moveWithCells="1">
              <from>
                <xdr:col>3</xdr:col>
                <xdr:colOff>198120</xdr:colOff>
                <xdr:row>70</xdr:row>
                <xdr:rowOff>45720</xdr:rowOff>
              </from>
              <to>
                <xdr:col>6</xdr:col>
                <xdr:colOff>746760</xdr:colOff>
                <xdr:row>74</xdr:row>
                <xdr:rowOff>76200</xdr:rowOff>
              </to>
            </anchor>
          </controlPr>
        </control>
      </mc:Choice>
      <mc:Fallback>
        <control shapeId="4110" r:id="rId12" name="CommandButton1"/>
      </mc:Fallback>
    </mc:AlternateContent>
    <mc:AlternateContent xmlns:mc="http://schemas.openxmlformats.org/markup-compatibility/2006">
      <mc:Choice Requires="x14">
        <control shapeId="4104" r:id="rId14" name="CommandButton6">
          <controlPr defaultSize="0" autoLine="0" altText="Proceed to Next Step" r:id="rId15">
            <anchor moveWithCells="1">
              <from>
                <xdr:col>7</xdr:col>
                <xdr:colOff>137160</xdr:colOff>
                <xdr:row>70</xdr:row>
                <xdr:rowOff>45720</xdr:rowOff>
              </from>
              <to>
                <xdr:col>11</xdr:col>
                <xdr:colOff>403860</xdr:colOff>
                <xdr:row>74</xdr:row>
                <xdr:rowOff>76200</xdr:rowOff>
              </to>
            </anchor>
          </controlPr>
        </control>
      </mc:Choice>
      <mc:Fallback>
        <control shapeId="4104" r:id="rId14" name="CommandButton6"/>
      </mc:Fallback>
    </mc:AlternateContent>
    <mc:AlternateContent xmlns:mc="http://schemas.openxmlformats.org/markup-compatibility/2006">
      <mc:Choice Requires="x14">
        <control shapeId="4111" r:id="rId16" name="CommandButton2">
          <controlPr defaultSize="0" autoLine="0" altText="Back to Table of Contents" r:id="rId17">
            <anchor moveWithCells="1">
              <from>
                <xdr:col>13</xdr:col>
                <xdr:colOff>502920</xdr:colOff>
                <xdr:row>2</xdr:row>
                <xdr:rowOff>0</xdr:rowOff>
              </from>
              <to>
                <xdr:col>17</xdr:col>
                <xdr:colOff>205740</xdr:colOff>
                <xdr:row>3</xdr:row>
                <xdr:rowOff>182880</xdr:rowOff>
              </to>
            </anchor>
          </controlPr>
        </control>
      </mc:Choice>
      <mc:Fallback>
        <control shapeId="4111" r:id="rId16" name="CommandButton2"/>
      </mc:Fallback>
    </mc:AlternateContent>
    <mc:AlternateContent xmlns:mc="http://schemas.openxmlformats.org/markup-compatibility/2006">
      <mc:Choice Requires="x14">
        <control shapeId="4116" r:id="rId18" name="CommandButton8">
          <controlPr defaultSize="0" autoLine="0" altText="Button, Set to Default Value for the total number of high-school attending adolescents_x000a_" r:id="rId19">
            <anchor moveWithCells="1">
              <from>
                <xdr:col>5</xdr:col>
                <xdr:colOff>495300</xdr:colOff>
                <xdr:row>22</xdr:row>
                <xdr:rowOff>99060</xdr:rowOff>
              </from>
              <to>
                <xdr:col>6</xdr:col>
                <xdr:colOff>754380</xdr:colOff>
                <xdr:row>24</xdr:row>
                <xdr:rowOff>160020</xdr:rowOff>
              </to>
            </anchor>
          </controlPr>
        </control>
      </mc:Choice>
      <mc:Fallback>
        <control shapeId="4116" r:id="rId18" name="CommandButton8"/>
      </mc:Fallback>
    </mc:AlternateContent>
    <mc:AlternateContent xmlns:mc="http://schemas.openxmlformats.org/markup-compatibility/2006">
      <mc:Choice Requires="x14">
        <control shapeId="4117" r:id="rId20" name="CommandButton9">
          <controlPr defaultSize="0" autoLine="0" altText="Reset Values_x000d__x000a_" r:id="rId21">
            <anchor moveWithCells="1">
              <from>
                <xdr:col>6</xdr:col>
                <xdr:colOff>883920</xdr:colOff>
                <xdr:row>22</xdr:row>
                <xdr:rowOff>99060</xdr:rowOff>
              </from>
              <to>
                <xdr:col>8</xdr:col>
                <xdr:colOff>160020</xdr:colOff>
                <xdr:row>24</xdr:row>
                <xdr:rowOff>160020</xdr:rowOff>
              </to>
            </anchor>
          </controlPr>
        </control>
      </mc:Choice>
      <mc:Fallback>
        <control shapeId="4117" r:id="rId20" name="CommandButton9"/>
      </mc:Fallback>
    </mc:AlternateContent>
    <mc:AlternateContent xmlns:mc="http://schemas.openxmlformats.org/markup-compatibility/2006">
      <mc:Choice Requires="x14">
        <control shapeId="4118" r:id="rId22" name="CommandButton10">
          <controlPr defaultSize="0" autoLine="0" altText="Use Alternative Population Size Calculator" r:id="rId23">
            <anchor moveWithCells="1">
              <from>
                <xdr:col>17</xdr:col>
                <xdr:colOff>365760</xdr:colOff>
                <xdr:row>2</xdr:row>
                <xdr:rowOff>0</xdr:rowOff>
              </from>
              <to>
                <xdr:col>21</xdr:col>
                <xdr:colOff>541020</xdr:colOff>
                <xdr:row>3</xdr:row>
                <xdr:rowOff>160020</xdr:rowOff>
              </to>
            </anchor>
          </controlPr>
        </control>
      </mc:Choice>
      <mc:Fallback>
        <control shapeId="4118" r:id="rId22" name="CommandButton10"/>
      </mc:Fallback>
    </mc:AlternateContent>
    <mc:AlternateContent xmlns:mc="http://schemas.openxmlformats.org/markup-compatibility/2006">
      <mc:Choice Requires="x14">
        <control shapeId="4119" r:id="rId24" name="CommandButton11">
          <controlPr defaultSize="0" autoLine="0" altText="Set to Defaults" r:id="rId25">
            <anchor moveWithCells="1">
              <from>
                <xdr:col>9</xdr:col>
                <xdr:colOff>601980</xdr:colOff>
                <xdr:row>61</xdr:row>
                <xdr:rowOff>68580</xdr:rowOff>
              </from>
              <to>
                <xdr:col>12</xdr:col>
                <xdr:colOff>487680</xdr:colOff>
                <xdr:row>65</xdr:row>
                <xdr:rowOff>38100</xdr:rowOff>
              </to>
            </anchor>
          </controlPr>
        </control>
      </mc:Choice>
      <mc:Fallback>
        <control shapeId="4119" r:id="rId24" name="CommandButton11"/>
      </mc:Fallback>
    </mc:AlternateContent>
    <mc:AlternateContent xmlns:mc="http://schemas.openxmlformats.org/markup-compatibility/2006">
      <mc:Choice Requires="x14">
        <control shapeId="4120" r:id="rId26" name="CommandButton12">
          <controlPr defaultSize="0" autoLine="0" altText="Reset Values" r:id="rId27">
            <anchor moveWithCells="1">
              <from>
                <xdr:col>13</xdr:col>
                <xdr:colOff>99060</xdr:colOff>
                <xdr:row>61</xdr:row>
                <xdr:rowOff>60960</xdr:rowOff>
              </from>
              <to>
                <xdr:col>16</xdr:col>
                <xdr:colOff>15240</xdr:colOff>
                <xdr:row>65</xdr:row>
                <xdr:rowOff>30480</xdr:rowOff>
              </to>
            </anchor>
          </controlPr>
        </control>
      </mc:Choice>
      <mc:Fallback>
        <control shapeId="4120" r:id="rId26" name="CommandButton12"/>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theme="9" tint="0.39997558519241921"/>
    <pageSetUpPr autoPageBreaks="0"/>
  </sheetPr>
  <dimension ref="B4:Y39"/>
  <sheetViews>
    <sheetView showGridLines="0" zoomScale="80" zoomScaleNormal="80" workbookViewId="0"/>
  </sheetViews>
  <sheetFormatPr defaultColWidth="9.109375" defaultRowHeight="13.8"/>
  <cols>
    <col min="1" max="1" width="9.109375" style="48"/>
    <col min="2" max="2" width="5.33203125" style="48" customWidth="1"/>
    <col min="3" max="3" width="5.88671875" style="48" customWidth="1"/>
    <col min="4" max="4" width="3.5546875" style="48" customWidth="1"/>
    <col min="5" max="5" width="17.88671875" style="48" customWidth="1"/>
    <col min="6" max="6" width="17" style="48" customWidth="1"/>
    <col min="7" max="9" width="8.88671875" style="48" customWidth="1"/>
    <col min="10" max="10" width="11.88671875" style="48" customWidth="1"/>
    <col min="11" max="11" width="8.88671875" style="48" customWidth="1"/>
    <col min="12" max="12" width="17.109375" style="48" customWidth="1"/>
    <col min="13" max="14" width="9.109375" style="48" customWidth="1"/>
    <col min="15" max="15" width="9.109375" style="48"/>
    <col min="16" max="16" width="9.109375" style="48" customWidth="1"/>
    <col min="17" max="20" width="9.109375" style="48"/>
    <col min="21" max="21" width="17.88671875" style="48" customWidth="1"/>
    <col min="22" max="22" width="17.33203125" style="48" customWidth="1"/>
    <col min="23" max="16384" width="9.109375" style="48"/>
  </cols>
  <sheetData>
    <row r="4" spans="2:20" ht="46.5" customHeight="1">
      <c r="B4" s="79" t="s">
        <v>3</v>
      </c>
    </row>
    <row r="5" spans="2:20" ht="30.75" customHeight="1">
      <c r="B5" s="139"/>
      <c r="C5" s="520"/>
      <c r="D5" s="139"/>
      <c r="E5" s="139"/>
      <c r="F5" s="139"/>
      <c r="G5" s="139"/>
      <c r="H5" s="139"/>
      <c r="I5" s="139"/>
      <c r="J5" s="139"/>
      <c r="K5" s="519" t="s">
        <v>182</v>
      </c>
      <c r="L5" s="139"/>
      <c r="M5" s="139"/>
      <c r="N5" s="139"/>
      <c r="O5" s="139"/>
      <c r="P5" s="139"/>
      <c r="Q5" s="139"/>
      <c r="R5" s="139"/>
      <c r="S5" s="139"/>
      <c r="T5" s="139"/>
    </row>
    <row r="6" spans="2:20" ht="30.75" customHeight="1">
      <c r="B6" s="139"/>
      <c r="C6" s="520"/>
      <c r="D6" s="139"/>
      <c r="E6" s="139"/>
      <c r="F6" s="139"/>
      <c r="G6" s="139"/>
      <c r="H6" s="139"/>
      <c r="I6" s="139"/>
      <c r="J6" s="139"/>
      <c r="K6" s="511" t="s">
        <v>186</v>
      </c>
      <c r="L6" s="139"/>
      <c r="M6" s="139"/>
      <c r="N6" s="139"/>
      <c r="O6" s="139"/>
      <c r="P6" s="139"/>
      <c r="Q6" s="139"/>
      <c r="R6" s="139"/>
      <c r="S6" s="139"/>
      <c r="T6" s="139"/>
    </row>
    <row r="7" spans="2:20" ht="30.75" customHeight="1">
      <c r="B7" s="139"/>
      <c r="C7" s="520"/>
      <c r="D7" s="139"/>
      <c r="E7" s="139"/>
      <c r="F7" s="139"/>
      <c r="G7" s="139"/>
      <c r="H7" s="139"/>
      <c r="I7" s="139"/>
      <c r="J7" s="523"/>
      <c r="K7" s="524" t="s">
        <v>187</v>
      </c>
      <c r="L7" s="139"/>
      <c r="M7" s="139"/>
      <c r="N7" s="139"/>
      <c r="O7" s="139"/>
      <c r="P7" s="139"/>
      <c r="Q7" s="139"/>
      <c r="R7" s="139"/>
      <c r="S7" s="139"/>
      <c r="T7" s="139"/>
    </row>
    <row r="8" spans="2:20" ht="30.75" customHeight="1">
      <c r="B8" s="139"/>
      <c r="C8" s="520"/>
      <c r="D8" s="139"/>
      <c r="E8" s="139"/>
      <c r="F8" s="139"/>
      <c r="G8" s="139"/>
      <c r="H8" s="139"/>
      <c r="I8" s="139"/>
      <c r="J8" s="139"/>
      <c r="K8" s="521" t="s">
        <v>183</v>
      </c>
      <c r="L8" s="139"/>
      <c r="M8" s="139"/>
      <c r="N8" s="139"/>
      <c r="O8" s="139"/>
      <c r="P8" s="139"/>
      <c r="Q8" s="139"/>
      <c r="R8" s="139"/>
      <c r="S8" s="139"/>
      <c r="T8" s="139"/>
    </row>
    <row r="9" spans="2:20" ht="15.75" customHeight="1">
      <c r="B9" s="139"/>
      <c r="C9" s="520"/>
      <c r="D9" s="139"/>
      <c r="E9" s="139"/>
      <c r="F9" s="139"/>
      <c r="G9" s="139"/>
      <c r="H9" s="139"/>
      <c r="I9" s="139"/>
      <c r="J9" s="139"/>
      <c r="K9" s="521" t="s">
        <v>184</v>
      </c>
      <c r="L9" s="139"/>
      <c r="M9" s="139"/>
      <c r="N9" s="139"/>
      <c r="O9" s="139"/>
      <c r="P9" s="139"/>
      <c r="Q9" s="139"/>
      <c r="R9" s="139"/>
      <c r="S9" s="139"/>
      <c r="T9" s="139"/>
    </row>
    <row r="10" spans="2:20" ht="30.75" customHeight="1">
      <c r="B10" s="139"/>
      <c r="C10" s="520"/>
      <c r="D10" s="139"/>
      <c r="E10" s="139"/>
      <c r="F10" s="139"/>
      <c r="G10" s="139"/>
      <c r="H10" s="139"/>
      <c r="I10" s="139"/>
      <c r="J10" s="139"/>
      <c r="K10" s="522" t="s">
        <v>185</v>
      </c>
      <c r="L10" s="139"/>
      <c r="M10" s="139"/>
      <c r="N10" s="139"/>
      <c r="O10" s="139"/>
      <c r="P10" s="139"/>
      <c r="Q10" s="139"/>
      <c r="R10" s="139"/>
      <c r="S10" s="139"/>
      <c r="T10" s="139"/>
    </row>
    <row r="11" spans="2:20" ht="30.75" customHeight="1">
      <c r="C11" s="54"/>
      <c r="J11" s="508"/>
    </row>
    <row r="13" spans="2:20" ht="15.6">
      <c r="D13" s="529" t="s">
        <v>188</v>
      </c>
      <c r="H13" s="80"/>
      <c r="K13" s="529" t="s">
        <v>189</v>
      </c>
    </row>
    <row r="14" spans="2:20" ht="15" customHeight="1">
      <c r="C14" s="81"/>
      <c r="D14" s="82"/>
      <c r="F14" s="525"/>
      <c r="G14" s="525"/>
      <c r="H14" s="525"/>
      <c r="I14" s="525"/>
      <c r="J14" s="49"/>
      <c r="K14" s="82"/>
      <c r="M14" s="526"/>
      <c r="N14" s="526"/>
      <c r="O14" s="526"/>
      <c r="P14" s="526"/>
      <c r="Q14" s="526"/>
      <c r="R14" s="526"/>
    </row>
    <row r="15" spans="2:20" ht="21" customHeight="1">
      <c r="D15" s="526" t="s">
        <v>190</v>
      </c>
      <c r="E15" s="525"/>
      <c r="F15" s="525"/>
      <c r="G15" s="525"/>
      <c r="H15" s="525"/>
      <c r="I15" s="525"/>
      <c r="J15" s="49"/>
      <c r="K15" s="526" t="s">
        <v>272</v>
      </c>
      <c r="L15" s="526"/>
      <c r="M15" s="526"/>
      <c r="N15" s="526"/>
      <c r="O15" s="526"/>
      <c r="P15" s="526"/>
      <c r="Q15" s="526"/>
      <c r="R15" s="526"/>
    </row>
    <row r="16" spans="2:20" s="516" customFormat="1" ht="30.75" customHeight="1">
      <c r="D16" s="527" t="s">
        <v>257</v>
      </c>
      <c r="E16" s="528"/>
      <c r="F16" s="528"/>
      <c r="G16" s="528"/>
      <c r="H16" s="528"/>
      <c r="I16" s="528"/>
      <c r="J16" s="527"/>
      <c r="K16" s="527"/>
      <c r="L16" s="527"/>
      <c r="M16" s="527"/>
      <c r="N16" s="527"/>
      <c r="O16" s="527"/>
      <c r="P16" s="527"/>
      <c r="Q16" s="527"/>
      <c r="R16" s="527"/>
    </row>
    <row r="17" spans="3:25" ht="19.2" customHeight="1">
      <c r="H17" s="58" t="s">
        <v>7</v>
      </c>
      <c r="N17" s="58" t="s">
        <v>7</v>
      </c>
    </row>
    <row r="18" spans="3:25">
      <c r="G18" s="58" t="s">
        <v>4</v>
      </c>
      <c r="H18" s="58" t="s">
        <v>5</v>
      </c>
      <c r="I18" s="58" t="s">
        <v>6</v>
      </c>
      <c r="M18" s="58" t="s">
        <v>4</v>
      </c>
      <c r="N18" s="58" t="s">
        <v>5</v>
      </c>
      <c r="O18" s="58" t="s">
        <v>6</v>
      </c>
    </row>
    <row r="19" spans="3:25" ht="16.5" customHeight="1">
      <c r="F19" s="65" t="s">
        <v>63</v>
      </c>
      <c r="G19" s="64"/>
      <c r="H19" s="64"/>
      <c r="I19" s="64"/>
      <c r="L19" s="84" t="s">
        <v>63</v>
      </c>
      <c r="M19" s="64"/>
      <c r="N19" s="64"/>
      <c r="O19" s="64"/>
    </row>
    <row r="20" spans="3:25">
      <c r="F20" s="51" t="s">
        <v>97</v>
      </c>
      <c r="G20" s="64"/>
      <c r="H20" s="64"/>
      <c r="I20" s="64"/>
      <c r="L20" s="51" t="s">
        <v>97</v>
      </c>
      <c r="M20" s="64"/>
      <c r="N20" s="64"/>
      <c r="O20" s="64"/>
    </row>
    <row r="21" spans="3:25">
      <c r="F21" s="66" t="s">
        <v>64</v>
      </c>
      <c r="G21" s="67"/>
      <c r="H21" s="64"/>
      <c r="I21" s="64"/>
      <c r="L21" s="66" t="s">
        <v>64</v>
      </c>
      <c r="M21" s="67"/>
      <c r="N21" s="64"/>
      <c r="O21" s="64"/>
    </row>
    <row r="22" spans="3:25">
      <c r="E22" s="85"/>
      <c r="F22" s="61"/>
      <c r="G22" s="86"/>
      <c r="H22" s="86"/>
      <c r="I22" s="86"/>
    </row>
    <row r="23" spans="3:25" ht="16.5" customHeight="1">
      <c r="E23" s="85"/>
      <c r="F23" s="61"/>
      <c r="G23" s="61"/>
      <c r="H23" s="61"/>
      <c r="I23" s="61"/>
    </row>
    <row r="24" spans="3:25">
      <c r="E24" s="85"/>
      <c r="F24" s="61"/>
      <c r="G24" s="86"/>
      <c r="H24" s="86"/>
      <c r="I24" s="86"/>
    </row>
    <row r="25" spans="3:25" ht="15" customHeight="1">
      <c r="E25" s="61"/>
      <c r="F25" s="61"/>
      <c r="G25" s="61"/>
      <c r="H25" s="61"/>
      <c r="I25" s="61"/>
    </row>
    <row r="26" spans="3:25" ht="17.25" customHeight="1"/>
    <row r="27" spans="3:25" ht="15.6">
      <c r="D27" s="529" t="s">
        <v>191</v>
      </c>
      <c r="E27" s="80"/>
      <c r="V27" s="61"/>
      <c r="W27" s="61"/>
      <c r="X27" s="61"/>
    </row>
    <row r="28" spans="3:25">
      <c r="D28" s="82"/>
      <c r="U28" s="61"/>
      <c r="V28" s="61"/>
      <c r="W28" s="61"/>
      <c r="X28" s="83"/>
      <c r="Y28" s="61"/>
    </row>
    <row r="29" spans="3:25" ht="16.8">
      <c r="C29" s="81"/>
      <c r="D29" s="49" t="s">
        <v>139</v>
      </c>
      <c r="U29" s="61"/>
      <c r="V29" s="61"/>
      <c r="W29" s="61"/>
      <c r="X29" s="83"/>
      <c r="Y29" s="61"/>
    </row>
    <row r="30" spans="3:25">
      <c r="U30" s="61"/>
      <c r="V30" s="61"/>
      <c r="W30" s="83"/>
      <c r="X30" s="83"/>
      <c r="Y30" s="61"/>
    </row>
    <row r="31" spans="3:25">
      <c r="H31" s="58" t="s">
        <v>7</v>
      </c>
      <c r="U31" s="61"/>
      <c r="V31" s="61"/>
      <c r="W31" s="317"/>
      <c r="X31" s="317"/>
      <c r="Y31" s="83"/>
    </row>
    <row r="32" spans="3:25" ht="15" customHeight="1">
      <c r="G32" s="58" t="s">
        <v>4</v>
      </c>
      <c r="H32" s="58" t="s">
        <v>5</v>
      </c>
      <c r="I32" s="58" t="s">
        <v>6</v>
      </c>
      <c r="U32" s="187"/>
      <c r="W32" s="317"/>
      <c r="X32" s="317"/>
      <c r="Y32" s="317"/>
    </row>
    <row r="33" spans="5:25" ht="15" customHeight="1">
      <c r="E33" s="497" t="s">
        <v>63</v>
      </c>
      <c r="F33" s="87" t="s">
        <v>25</v>
      </c>
      <c r="G33" s="349"/>
      <c r="H33" s="315"/>
      <c r="I33" s="315"/>
      <c r="V33" s="61"/>
      <c r="W33" s="317"/>
      <c r="X33" s="317"/>
      <c r="Y33" s="317"/>
    </row>
    <row r="34" spans="5:25">
      <c r="E34" s="637"/>
      <c r="F34" s="350" t="s">
        <v>26</v>
      </c>
      <c r="G34" s="349"/>
      <c r="H34" s="315"/>
      <c r="I34" s="315"/>
      <c r="U34" s="85"/>
      <c r="V34" s="61"/>
      <c r="W34" s="317"/>
      <c r="X34" s="317"/>
      <c r="Y34" s="317"/>
    </row>
    <row r="35" spans="5:25">
      <c r="E35" s="351" t="s">
        <v>97</v>
      </c>
      <c r="F35" s="352" t="s">
        <v>25</v>
      </c>
      <c r="G35" s="349"/>
      <c r="H35" s="315"/>
      <c r="I35" s="315"/>
      <c r="U35" s="85"/>
      <c r="V35" s="61"/>
      <c r="W35" s="61"/>
      <c r="X35" s="61"/>
      <c r="Y35" s="317"/>
    </row>
    <row r="36" spans="5:25">
      <c r="E36" s="85" t="s">
        <v>64</v>
      </c>
      <c r="F36" s="87" t="s">
        <v>27</v>
      </c>
      <c r="G36" s="349"/>
      <c r="H36" s="315"/>
      <c r="I36" s="315"/>
      <c r="U36" s="61"/>
      <c r="V36" s="61"/>
      <c r="W36" s="61"/>
      <c r="X36" s="61"/>
      <c r="Y36" s="61"/>
    </row>
    <row r="37" spans="5:25">
      <c r="U37" s="61"/>
      <c r="Y37" s="61"/>
    </row>
    <row r="38" spans="5:25">
      <c r="E38" s="80"/>
      <c r="G38" s="316"/>
      <c r="H38" s="316"/>
      <c r="I38" s="316"/>
    </row>
    <row r="39" spans="5:25" ht="15" customHeight="1"/>
  </sheetData>
  <protectedRanges>
    <protectedRange sqref="G33:I36" name="step3"/>
    <protectedRange sqref="M19:O21" name="step2"/>
    <protectedRange sqref="G19:I21" name="step1"/>
  </protectedRanges>
  <pageMargins left="0.7" right="0.7" top="0.75" bottom="0.75" header="0.3" footer="0.3"/>
  <pageSetup orientation="portrait" horizontalDpi="1200" verticalDpi="1200" r:id="rId1"/>
  <drawing r:id="rId2"/>
  <legacyDrawing r:id="rId3"/>
  <controls>
    <mc:AlternateContent xmlns:mc="http://schemas.openxmlformats.org/markup-compatibility/2006">
      <mc:Choice Requires="x14">
        <control shapeId="3080" r:id="rId4" name="CommandButton8">
          <controlPr defaultSize="0" autoLine="0" altText="Button, click to reset the values for coital frequency" r:id="rId5">
            <anchor moveWithCells="1">
              <from>
                <xdr:col>15</xdr:col>
                <xdr:colOff>419100</xdr:colOff>
                <xdr:row>19</xdr:row>
                <xdr:rowOff>152400</xdr:rowOff>
              </from>
              <to>
                <xdr:col>17</xdr:col>
                <xdr:colOff>586740</xdr:colOff>
                <xdr:row>22</xdr:row>
                <xdr:rowOff>7620</xdr:rowOff>
              </to>
            </anchor>
          </controlPr>
        </control>
      </mc:Choice>
      <mc:Fallback>
        <control shapeId="3080" r:id="rId4" name="CommandButton8"/>
      </mc:Fallback>
    </mc:AlternateContent>
    <mc:AlternateContent xmlns:mc="http://schemas.openxmlformats.org/markup-compatibility/2006">
      <mc:Choice Requires="x14">
        <control shapeId="3079" r:id="rId6" name="CommandButton7">
          <controlPr defaultSize="0" autoLine="0" altText="Button, click to set to default values for coital frequency" r:id="rId7">
            <anchor moveWithCells="1">
              <from>
                <xdr:col>15</xdr:col>
                <xdr:colOff>419100</xdr:colOff>
                <xdr:row>17</xdr:row>
                <xdr:rowOff>60960</xdr:rowOff>
              </from>
              <to>
                <xdr:col>17</xdr:col>
                <xdr:colOff>579120</xdr:colOff>
                <xdr:row>19</xdr:row>
                <xdr:rowOff>91440</xdr:rowOff>
              </to>
            </anchor>
          </controlPr>
        </control>
      </mc:Choice>
      <mc:Fallback>
        <control shapeId="3079" r:id="rId6" name="CommandButton7"/>
      </mc:Fallback>
    </mc:AlternateContent>
    <mc:AlternateContent xmlns:mc="http://schemas.openxmlformats.org/markup-compatibility/2006">
      <mc:Choice Requires="x14">
        <control shapeId="3077" r:id="rId8" name="CommandButton5">
          <controlPr defaultSize="0" autoLine="0" altText="Button, click to proceed to next step" r:id="rId9">
            <anchor moveWithCells="1">
              <from>
                <xdr:col>6</xdr:col>
                <xdr:colOff>342900</xdr:colOff>
                <xdr:row>38</xdr:row>
                <xdr:rowOff>152400</xdr:rowOff>
              </from>
              <to>
                <xdr:col>11</xdr:col>
                <xdr:colOff>579120</xdr:colOff>
                <xdr:row>44</xdr:row>
                <xdr:rowOff>99060</xdr:rowOff>
              </to>
            </anchor>
          </controlPr>
        </control>
      </mc:Choice>
      <mc:Fallback>
        <control shapeId="3077" r:id="rId8" name="CommandButton5"/>
      </mc:Fallback>
    </mc:AlternateContent>
    <mc:AlternateContent xmlns:mc="http://schemas.openxmlformats.org/markup-compatibility/2006">
      <mc:Choice Requires="x14">
        <control shapeId="3076" r:id="rId10" name="CommandButton4">
          <controlPr defaultSize="0" autoLine="0" altText="Button, click to reset the values for the probability of condom use" r:id="rId11">
            <anchor moveWithCells="1">
              <from>
                <xdr:col>12</xdr:col>
                <xdr:colOff>198120</xdr:colOff>
                <xdr:row>32</xdr:row>
                <xdr:rowOff>60960</xdr:rowOff>
              </from>
              <to>
                <xdr:col>15</xdr:col>
                <xdr:colOff>152400</xdr:colOff>
                <xdr:row>36</xdr:row>
                <xdr:rowOff>30480</xdr:rowOff>
              </to>
            </anchor>
          </controlPr>
        </control>
      </mc:Choice>
      <mc:Fallback>
        <control shapeId="3076" r:id="rId10" name="CommandButton4"/>
      </mc:Fallback>
    </mc:AlternateContent>
    <mc:AlternateContent xmlns:mc="http://schemas.openxmlformats.org/markup-compatibility/2006">
      <mc:Choice Requires="x14">
        <control shapeId="3075" r:id="rId12" name="CommandButton3">
          <controlPr defaultSize="0" autoLine="0" altText="Button, click to reset the values for the number of new partners per year" r:id="rId13">
            <anchor moveWithCells="1">
              <from>
                <xdr:col>2</xdr:col>
                <xdr:colOff>76200</xdr:colOff>
                <xdr:row>19</xdr:row>
                <xdr:rowOff>114300</xdr:rowOff>
              </from>
              <to>
                <xdr:col>4</xdr:col>
                <xdr:colOff>838200</xdr:colOff>
                <xdr:row>21</xdr:row>
                <xdr:rowOff>152400</xdr:rowOff>
              </to>
            </anchor>
          </controlPr>
        </control>
      </mc:Choice>
      <mc:Fallback>
        <control shapeId="3075" r:id="rId12" name="CommandButton3"/>
      </mc:Fallback>
    </mc:AlternateContent>
    <mc:AlternateContent xmlns:mc="http://schemas.openxmlformats.org/markup-compatibility/2006">
      <mc:Choice Requires="x14">
        <control shapeId="3074" r:id="rId14" name="CommandButton2">
          <controlPr defaultSize="0" autoLine="0" altText="Button, click to set to default values for the probability of condom use" r:id="rId15">
            <anchor moveWithCells="1">
              <from>
                <xdr:col>10</xdr:col>
                <xdr:colOff>106680</xdr:colOff>
                <xdr:row>32</xdr:row>
                <xdr:rowOff>60960</xdr:rowOff>
              </from>
              <to>
                <xdr:col>12</xdr:col>
                <xdr:colOff>30480</xdr:colOff>
                <xdr:row>36</xdr:row>
                <xdr:rowOff>30480</xdr:rowOff>
              </to>
            </anchor>
          </controlPr>
        </control>
      </mc:Choice>
      <mc:Fallback>
        <control shapeId="3074" r:id="rId14" name="CommandButton2"/>
      </mc:Fallback>
    </mc:AlternateContent>
    <mc:AlternateContent xmlns:mc="http://schemas.openxmlformats.org/markup-compatibility/2006">
      <mc:Choice Requires="x14">
        <control shapeId="3073" r:id="rId16" name="CommandButton1">
          <controlPr defaultSize="0" autoLine="0" altText="Button, click to set to default values for the number of new partners per year" r:id="rId17">
            <anchor moveWithCells="1">
              <from>
                <xdr:col>2</xdr:col>
                <xdr:colOff>76200</xdr:colOff>
                <xdr:row>17</xdr:row>
                <xdr:rowOff>30480</xdr:rowOff>
              </from>
              <to>
                <xdr:col>4</xdr:col>
                <xdr:colOff>830580</xdr:colOff>
                <xdr:row>19</xdr:row>
                <xdr:rowOff>45720</xdr:rowOff>
              </to>
            </anchor>
          </controlPr>
        </control>
      </mc:Choice>
      <mc:Fallback>
        <control shapeId="3073" r:id="rId16" name="CommandButton1"/>
      </mc:Fallback>
    </mc:AlternateContent>
    <mc:AlternateContent xmlns:mc="http://schemas.openxmlformats.org/markup-compatibility/2006">
      <mc:Choice Requires="x14">
        <control shapeId="3078" r:id="rId18" name="CommandButton6">
          <controlPr defaultSize="0" autoLine="0" altText="Button, click to go back to Table of Contents" r:id="rId19">
            <anchor moveWithCells="1">
              <from>
                <xdr:col>20</xdr:col>
                <xdr:colOff>114300</xdr:colOff>
                <xdr:row>2</xdr:row>
                <xdr:rowOff>0</xdr:rowOff>
              </from>
              <to>
                <xdr:col>21</xdr:col>
                <xdr:colOff>1150620</xdr:colOff>
                <xdr:row>3</xdr:row>
                <xdr:rowOff>274320</xdr:rowOff>
              </to>
            </anchor>
          </controlPr>
        </control>
      </mc:Choice>
      <mc:Fallback>
        <control shapeId="3078" r:id="rId18" name="CommandButton6"/>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tabColor theme="9" tint="0.39997558519241921"/>
    <pageSetUpPr autoPageBreaks="0"/>
  </sheetPr>
  <dimension ref="B4:R48"/>
  <sheetViews>
    <sheetView topLeftCell="A7" zoomScale="80" zoomScaleNormal="80" workbookViewId="0"/>
  </sheetViews>
  <sheetFormatPr defaultColWidth="9.109375" defaultRowHeight="13.8"/>
  <cols>
    <col min="1" max="1" width="9.109375" style="48"/>
    <col min="2" max="2" width="6" style="48" customWidth="1"/>
    <col min="3" max="3" width="4.5546875" style="48" customWidth="1"/>
    <col min="4" max="4" width="5.6640625" style="48" customWidth="1"/>
    <col min="5" max="5" width="3.33203125" style="48" customWidth="1"/>
    <col min="6" max="6" width="28.44140625" style="48" customWidth="1"/>
    <col min="7" max="7" width="18" style="48" customWidth="1"/>
    <col min="8" max="8" width="9.6640625" style="48" customWidth="1"/>
    <col min="9" max="10" width="12.5546875" style="48" customWidth="1"/>
    <col min="11" max="11" width="19.44140625" style="48" customWidth="1"/>
    <col min="12" max="12" width="9.109375" style="48"/>
    <col min="13" max="13" width="6.5546875" style="48" customWidth="1"/>
    <col min="14" max="14" width="11.6640625" style="48" customWidth="1"/>
    <col min="15" max="16384" width="9.109375" style="48"/>
  </cols>
  <sheetData>
    <row r="4" spans="2:18" ht="33.75" customHeight="1">
      <c r="B4" s="534" t="s">
        <v>131</v>
      </c>
    </row>
    <row r="5" spans="2:18" ht="26.25" customHeight="1">
      <c r="E5" s="139"/>
      <c r="F5" s="139"/>
      <c r="G5" s="139"/>
      <c r="H5" s="139"/>
      <c r="I5" s="509" t="s">
        <v>192</v>
      </c>
      <c r="J5" s="139"/>
      <c r="K5" s="139"/>
      <c r="L5" s="139"/>
      <c r="M5" s="139"/>
      <c r="N5" s="139"/>
    </row>
    <row r="6" spans="2:18" ht="15.75" customHeight="1">
      <c r="E6" s="139"/>
      <c r="F6" s="139"/>
      <c r="G6" s="139"/>
      <c r="H6" s="139"/>
      <c r="I6" s="531" t="s">
        <v>193</v>
      </c>
      <c r="J6" s="139"/>
      <c r="K6" s="139"/>
      <c r="L6" s="139"/>
      <c r="M6" s="139"/>
      <c r="N6" s="139"/>
    </row>
    <row r="7" spans="2:18" ht="17.399999999999999">
      <c r="E7" s="139"/>
      <c r="F7" s="139"/>
      <c r="G7" s="139"/>
      <c r="H7" s="139"/>
      <c r="I7" s="531" t="s">
        <v>197</v>
      </c>
      <c r="J7" s="139"/>
      <c r="K7" s="139"/>
      <c r="L7" s="139"/>
      <c r="M7" s="139"/>
      <c r="N7" s="139"/>
    </row>
    <row r="8" spans="2:18">
      <c r="E8" s="139"/>
      <c r="F8" s="139"/>
      <c r="G8" s="139"/>
      <c r="H8" s="139"/>
      <c r="I8" s="139"/>
      <c r="J8" s="139"/>
      <c r="K8" s="139"/>
      <c r="L8" s="139"/>
      <c r="M8" s="139"/>
      <c r="N8" s="139"/>
    </row>
    <row r="9" spans="2:18" ht="16.8">
      <c r="E9" s="139"/>
      <c r="F9" s="139"/>
      <c r="G9" s="139"/>
      <c r="H9" s="139"/>
      <c r="I9" s="530" t="s">
        <v>194</v>
      </c>
      <c r="J9" s="139"/>
      <c r="K9" s="139"/>
      <c r="L9" s="139"/>
      <c r="M9" s="139"/>
      <c r="N9" s="139"/>
    </row>
    <row r="10" spans="2:18" ht="16.8">
      <c r="E10" s="139"/>
      <c r="F10" s="139"/>
      <c r="G10" s="139"/>
      <c r="H10" s="139"/>
      <c r="I10" s="531" t="s">
        <v>195</v>
      </c>
      <c r="J10" s="139"/>
      <c r="K10" s="139"/>
      <c r="L10" s="139"/>
      <c r="M10" s="139"/>
      <c r="N10" s="139"/>
    </row>
    <row r="11" spans="2:18" ht="16.8">
      <c r="E11" s="139"/>
      <c r="F11" s="139"/>
      <c r="G11" s="139"/>
      <c r="H11" s="139"/>
      <c r="I11" s="530" t="s">
        <v>196</v>
      </c>
      <c r="J11" s="139"/>
      <c r="K11" s="139"/>
      <c r="L11" s="139"/>
      <c r="M11" s="139"/>
      <c r="N11" s="139"/>
    </row>
    <row r="12" spans="2:18" ht="22.5" customHeight="1">
      <c r="E12" s="139"/>
      <c r="F12" s="139"/>
      <c r="G12" s="139"/>
      <c r="H12" s="139"/>
      <c r="I12" s="530" t="s">
        <v>258</v>
      </c>
      <c r="J12" s="139"/>
      <c r="K12" s="139"/>
      <c r="L12" s="139"/>
      <c r="M12" s="139"/>
      <c r="N12" s="139"/>
    </row>
    <row r="15" spans="2:18" ht="17.399999999999999">
      <c r="D15" s="89"/>
      <c r="E15" s="90"/>
      <c r="F15" s="532" t="s">
        <v>198</v>
      </c>
      <c r="G15" s="537"/>
      <c r="H15" s="91"/>
      <c r="I15" s="90"/>
      <c r="J15" s="90"/>
      <c r="K15" s="90"/>
      <c r="L15" s="90"/>
      <c r="M15" s="90"/>
      <c r="N15" s="90"/>
      <c r="O15" s="90"/>
      <c r="P15" s="90"/>
      <c r="Q15" s="90"/>
      <c r="R15" s="61"/>
    </row>
    <row r="16" spans="2:18">
      <c r="F16" s="82"/>
      <c r="P16" s="61"/>
      <c r="Q16" s="61"/>
      <c r="R16" s="61"/>
    </row>
    <row r="17" spans="4:18" ht="15.6">
      <c r="F17" s="533" t="s">
        <v>166</v>
      </c>
      <c r="H17" s="58"/>
    </row>
    <row r="18" spans="4:18">
      <c r="H18" s="83"/>
      <c r="I18" s="83"/>
    </row>
    <row r="19" spans="4:18">
      <c r="F19" s="92" t="s">
        <v>45</v>
      </c>
      <c r="G19" s="93"/>
      <c r="H19" s="61"/>
      <c r="I19" s="94"/>
      <c r="K19" s="490" t="s">
        <v>199</v>
      </c>
    </row>
    <row r="20" spans="4:18" ht="15" customHeight="1">
      <c r="F20" s="95"/>
      <c r="G20" s="94"/>
      <c r="H20" s="94"/>
      <c r="I20" s="56"/>
      <c r="J20" s="498" t="s">
        <v>76</v>
      </c>
      <c r="K20" s="97">
        <f>G19+G21</f>
        <v>0</v>
      </c>
    </row>
    <row r="21" spans="4:18">
      <c r="F21" s="88" t="s">
        <v>96</v>
      </c>
      <c r="G21" s="93"/>
      <c r="I21" s="56"/>
      <c r="J21" s="498" t="s">
        <v>77</v>
      </c>
      <c r="K21" s="97">
        <f>G23</f>
        <v>0</v>
      </c>
    </row>
    <row r="22" spans="4:18">
      <c r="F22" s="80"/>
      <c r="G22" s="94"/>
      <c r="H22" s="98"/>
      <c r="I22" s="94"/>
    </row>
    <row r="23" spans="4:18">
      <c r="F23" s="88" t="s">
        <v>46</v>
      </c>
      <c r="G23" s="93"/>
      <c r="I23" s="94"/>
    </row>
    <row r="27" spans="4:18" ht="17.399999999999999">
      <c r="D27" s="89"/>
      <c r="E27" s="90"/>
      <c r="F27" s="532" t="s">
        <v>50</v>
      </c>
      <c r="G27" s="537"/>
      <c r="H27" s="90"/>
      <c r="I27" s="90"/>
      <c r="J27" s="90"/>
      <c r="K27" s="90"/>
      <c r="L27" s="90"/>
      <c r="M27" s="90"/>
      <c r="N27" s="90"/>
      <c r="O27" s="90"/>
      <c r="P27" s="90"/>
      <c r="Q27" s="90"/>
      <c r="R27" s="61"/>
    </row>
    <row r="28" spans="4:18">
      <c r="D28" s="61"/>
      <c r="E28" s="61"/>
      <c r="F28" s="61"/>
      <c r="G28" s="61"/>
      <c r="H28" s="61"/>
      <c r="I28" s="61"/>
      <c r="J28" s="61"/>
      <c r="K28" s="61"/>
      <c r="L28" s="61"/>
      <c r="M28" s="61"/>
      <c r="N28" s="61"/>
      <c r="O28" s="61"/>
      <c r="P28" s="61"/>
      <c r="Q28" s="61"/>
      <c r="R28" s="61"/>
    </row>
    <row r="29" spans="4:18" ht="15.6">
      <c r="F29" s="533" t="s">
        <v>166</v>
      </c>
      <c r="G29" s="355"/>
      <c r="H29" s="58"/>
    </row>
    <row r="30" spans="4:18">
      <c r="E30" s="187"/>
      <c r="G30" s="58"/>
      <c r="H30" s="83"/>
      <c r="I30" s="83"/>
    </row>
    <row r="31" spans="4:18">
      <c r="E31" s="187"/>
      <c r="F31" s="92" t="s">
        <v>45</v>
      </c>
      <c r="G31" s="93"/>
      <c r="H31" s="94"/>
      <c r="I31" s="94"/>
      <c r="K31" s="490" t="s">
        <v>199</v>
      </c>
    </row>
    <row r="32" spans="4:18">
      <c r="E32" s="187"/>
      <c r="F32" s="95"/>
      <c r="G32" s="99"/>
      <c r="H32" s="94"/>
      <c r="J32" s="498" t="s">
        <v>76</v>
      </c>
      <c r="K32" s="97">
        <f>G31+G33</f>
        <v>0</v>
      </c>
      <c r="L32" s="63"/>
      <c r="M32" s="100"/>
      <c r="N32" s="94"/>
    </row>
    <row r="33" spans="4:18">
      <c r="F33" s="88" t="s">
        <v>96</v>
      </c>
      <c r="G33" s="93"/>
      <c r="H33" s="94"/>
      <c r="J33" s="498" t="s">
        <v>77</v>
      </c>
      <c r="K33" s="97">
        <f>G35</f>
        <v>0</v>
      </c>
      <c r="L33" s="63"/>
      <c r="M33" s="100"/>
      <c r="N33" s="94"/>
    </row>
    <row r="34" spans="4:18">
      <c r="E34" s="85"/>
      <c r="F34" s="80"/>
      <c r="G34" s="98"/>
      <c r="H34" s="94"/>
      <c r="I34" s="94"/>
    </row>
    <row r="35" spans="4:18">
      <c r="E35" s="80"/>
      <c r="F35" s="88" t="s">
        <v>46</v>
      </c>
      <c r="G35" s="93"/>
      <c r="H35" s="94"/>
      <c r="I35" s="94"/>
    </row>
    <row r="36" spans="4:18">
      <c r="E36" s="80"/>
      <c r="G36" s="61"/>
      <c r="H36" s="101"/>
      <c r="I36" s="102"/>
    </row>
    <row r="37" spans="4:18">
      <c r="E37" s="85"/>
      <c r="F37" s="61"/>
      <c r="G37" s="61"/>
      <c r="H37" s="101"/>
      <c r="I37" s="102"/>
    </row>
    <row r="39" spans="4:18" ht="17.399999999999999">
      <c r="D39" s="89"/>
      <c r="E39" s="90"/>
      <c r="F39" s="532" t="s">
        <v>39</v>
      </c>
      <c r="G39" s="90"/>
      <c r="H39" s="90"/>
      <c r="I39" s="90"/>
      <c r="J39" s="90"/>
      <c r="K39" s="90"/>
      <c r="L39" s="90"/>
      <c r="M39" s="90"/>
      <c r="N39" s="90"/>
      <c r="O39" s="90"/>
      <c r="P39" s="90"/>
      <c r="Q39" s="90"/>
      <c r="R39" s="61"/>
    </row>
    <row r="40" spans="4:18">
      <c r="D40" s="61"/>
      <c r="E40" s="61"/>
      <c r="F40" s="61"/>
      <c r="G40" s="61"/>
      <c r="H40" s="61"/>
      <c r="I40" s="61"/>
      <c r="J40" s="61"/>
      <c r="K40" s="61"/>
      <c r="L40" s="61"/>
      <c r="M40" s="61"/>
      <c r="N40" s="61"/>
      <c r="O40" s="61"/>
      <c r="P40" s="61"/>
      <c r="Q40" s="61"/>
      <c r="R40" s="61"/>
    </row>
    <row r="41" spans="4:18">
      <c r="G41" s="55"/>
      <c r="H41" s="58"/>
    </row>
    <row r="42" spans="4:18" ht="15.6">
      <c r="E42" s="187"/>
      <c r="F42" s="533" t="s">
        <v>167</v>
      </c>
      <c r="G42" s="355"/>
    </row>
    <row r="43" spans="4:18" ht="18.75" customHeight="1">
      <c r="E43" s="187"/>
      <c r="G43" s="322"/>
    </row>
    <row r="44" spans="4:18">
      <c r="E44" s="187"/>
      <c r="F44" s="319"/>
      <c r="G44" s="93"/>
    </row>
    <row r="46" spans="4:18">
      <c r="E46" s="85"/>
      <c r="F46" s="85"/>
      <c r="G46" s="94"/>
      <c r="H46" s="94"/>
      <c r="I46" s="94"/>
      <c r="J46" s="61"/>
      <c r="K46" s="61"/>
    </row>
    <row r="47" spans="4:18">
      <c r="E47" s="80"/>
      <c r="F47" s="85"/>
      <c r="G47" s="94"/>
      <c r="H47" s="94"/>
      <c r="I47" s="94"/>
      <c r="J47" s="61"/>
      <c r="K47" s="61"/>
    </row>
    <row r="48" spans="4:18">
      <c r="E48" s="85"/>
      <c r="F48" s="61"/>
      <c r="G48" s="61"/>
      <c r="H48" s="101"/>
      <c r="I48" s="61"/>
    </row>
  </sheetData>
  <protectedRanges>
    <protectedRange sqref="G44" name="hiv"/>
    <protectedRange sqref="G31:G35" name="ct"/>
    <protectedRange sqref="G19:G23" name="gc"/>
  </protectedRanges>
  <pageMargins left="0.7" right="0.7" top="0.75" bottom="0.75" header="0.3" footer="0.3"/>
  <drawing r:id="rId1"/>
  <legacyDrawing r:id="rId2"/>
  <controls>
    <mc:AlternateContent xmlns:mc="http://schemas.openxmlformats.org/markup-compatibility/2006">
      <mc:Choice Requires="x14">
        <control shapeId="14349" r:id="rId3" name="CommandButton8">
          <controlPr defaultSize="0" autoLine="0" altText="Button, click to set default values for diagnoses of chlamydia " r:id="rId4">
            <anchor moveWithCells="1">
              <from>
                <xdr:col>11</xdr:col>
                <xdr:colOff>350520</xdr:colOff>
                <xdr:row>30</xdr:row>
                <xdr:rowOff>45720</xdr:rowOff>
              </from>
              <to>
                <xdr:col>14</xdr:col>
                <xdr:colOff>502920</xdr:colOff>
                <xdr:row>34</xdr:row>
                <xdr:rowOff>30480</xdr:rowOff>
              </to>
            </anchor>
          </controlPr>
        </control>
      </mc:Choice>
      <mc:Fallback>
        <control shapeId="14349" r:id="rId3" name="CommandButton8"/>
      </mc:Fallback>
    </mc:AlternateContent>
    <mc:AlternateContent xmlns:mc="http://schemas.openxmlformats.org/markup-compatibility/2006">
      <mc:Choice Requires="x14">
        <control shapeId="14348" r:id="rId5" name="CommandButton9">
          <controlPr defaultSize="0" autoLine="0" altText="Button, click to set default values for diagnoses of gonorrhea " r:id="rId6">
            <anchor moveWithCells="1">
              <from>
                <xdr:col>11</xdr:col>
                <xdr:colOff>373380</xdr:colOff>
                <xdr:row>18</xdr:row>
                <xdr:rowOff>45720</xdr:rowOff>
              </from>
              <to>
                <xdr:col>14</xdr:col>
                <xdr:colOff>518160</xdr:colOff>
                <xdr:row>22</xdr:row>
                <xdr:rowOff>15240</xdr:rowOff>
              </to>
            </anchor>
          </controlPr>
        </control>
      </mc:Choice>
      <mc:Fallback>
        <control shapeId="14348" r:id="rId5" name="CommandButton9"/>
      </mc:Fallback>
    </mc:AlternateContent>
    <mc:AlternateContent xmlns:mc="http://schemas.openxmlformats.org/markup-compatibility/2006">
      <mc:Choice Requires="x14">
        <control shapeId="14347" r:id="rId7" name="CommandButton6">
          <controlPr defaultSize="0" autoLine="0" altText="Buttton, click to skip to results page" r:id="rId8">
            <anchor moveWithCells="1">
              <from>
                <xdr:col>5</xdr:col>
                <xdr:colOff>335280</xdr:colOff>
                <xdr:row>47</xdr:row>
                <xdr:rowOff>83820</xdr:rowOff>
              </from>
              <to>
                <xdr:col>8</xdr:col>
                <xdr:colOff>312420</xdr:colOff>
                <xdr:row>52</xdr:row>
                <xdr:rowOff>53340</xdr:rowOff>
              </to>
            </anchor>
          </controlPr>
        </control>
      </mc:Choice>
      <mc:Fallback>
        <control shapeId="14347" r:id="rId7" name="CommandButton6"/>
      </mc:Fallback>
    </mc:AlternateContent>
    <mc:AlternateContent xmlns:mc="http://schemas.openxmlformats.org/markup-compatibility/2006">
      <mc:Choice Requires="x14">
        <control shapeId="14341" r:id="rId9" name="CommandButton5">
          <controlPr defaultSize="0" autoLine="0" altText="Button, click to reset default values for diagnoses of chlamydia " r:id="rId10">
            <anchor moveWithCells="1">
              <from>
                <xdr:col>15</xdr:col>
                <xdr:colOff>38100</xdr:colOff>
                <xdr:row>30</xdr:row>
                <xdr:rowOff>45720</xdr:rowOff>
              </from>
              <to>
                <xdr:col>18</xdr:col>
                <xdr:colOff>213360</xdr:colOff>
                <xdr:row>34</xdr:row>
                <xdr:rowOff>30480</xdr:rowOff>
              </to>
            </anchor>
          </controlPr>
        </control>
      </mc:Choice>
      <mc:Fallback>
        <control shapeId="14341" r:id="rId9" name="CommandButton5"/>
      </mc:Fallback>
    </mc:AlternateContent>
    <mc:AlternateContent xmlns:mc="http://schemas.openxmlformats.org/markup-compatibility/2006">
      <mc:Choice Requires="x14">
        <control shapeId="14340" r:id="rId11" name="CommandButton4">
          <controlPr defaultSize="0" autoLine="0" altText="Button, click to reset the values for diagnoses of gonorrhea " r:id="rId12">
            <anchor moveWithCells="1">
              <from>
                <xdr:col>15</xdr:col>
                <xdr:colOff>38100</xdr:colOff>
                <xdr:row>18</xdr:row>
                <xdr:rowOff>38100</xdr:rowOff>
              </from>
              <to>
                <xdr:col>18</xdr:col>
                <xdr:colOff>213360</xdr:colOff>
                <xdr:row>22</xdr:row>
                <xdr:rowOff>7620</xdr:rowOff>
              </to>
            </anchor>
          </controlPr>
        </control>
      </mc:Choice>
      <mc:Fallback>
        <control shapeId="14340" r:id="rId11" name="CommandButton4"/>
      </mc:Fallback>
    </mc:AlternateContent>
    <mc:AlternateContent xmlns:mc="http://schemas.openxmlformats.org/markup-compatibility/2006">
      <mc:Choice Requires="x14">
        <control shapeId="14343" r:id="rId13" name="CommandButton7">
          <controlPr defaultSize="0" autoLine="0" altText="Buttton, click to proceed to interventions page" r:id="rId14">
            <anchor moveWithCells="1">
              <from>
                <xdr:col>8</xdr:col>
                <xdr:colOff>495300</xdr:colOff>
                <xdr:row>47</xdr:row>
                <xdr:rowOff>83820</xdr:rowOff>
              </from>
              <to>
                <xdr:col>13</xdr:col>
                <xdr:colOff>190500</xdr:colOff>
                <xdr:row>52</xdr:row>
                <xdr:rowOff>53340</xdr:rowOff>
              </to>
            </anchor>
          </controlPr>
        </control>
      </mc:Choice>
      <mc:Fallback>
        <control shapeId="14343" r:id="rId13" name="CommandButton7"/>
      </mc:Fallback>
    </mc:AlternateContent>
    <mc:AlternateContent xmlns:mc="http://schemas.openxmlformats.org/markup-compatibility/2006">
      <mc:Choice Requires="x14">
        <control shapeId="14344" r:id="rId15" name="CommandButton1">
          <controlPr defaultSize="0" autoLine="0" altText="Button, click to go ack to the Table of Contents" r:id="rId16">
            <anchor moveWithCells="1">
              <from>
                <xdr:col>16</xdr:col>
                <xdr:colOff>335280</xdr:colOff>
                <xdr:row>2</xdr:row>
                <xdr:rowOff>30480</xdr:rowOff>
              </from>
              <to>
                <xdr:col>19</xdr:col>
                <xdr:colOff>594360</xdr:colOff>
                <xdr:row>3</xdr:row>
                <xdr:rowOff>304800</xdr:rowOff>
              </to>
            </anchor>
          </controlPr>
        </control>
      </mc:Choice>
      <mc:Fallback>
        <control shapeId="14344" r:id="rId15" name="CommandButton1"/>
      </mc:Fallback>
    </mc:AlternateContent>
    <mc:AlternateContent xmlns:mc="http://schemas.openxmlformats.org/markup-compatibility/2006">
      <mc:Choice Requires="x14">
        <control shapeId="14345" r:id="rId17" name="CommandButton2">
          <controlPr defaultSize="0" autoLine="0" altText="Button, click to set default values for diagnoses of HIV " r:id="rId18">
            <anchor moveWithCells="1">
              <from>
                <xdr:col>7</xdr:col>
                <xdr:colOff>411480</xdr:colOff>
                <xdr:row>42</xdr:row>
                <xdr:rowOff>114300</xdr:rowOff>
              </from>
              <to>
                <xdr:col>9</xdr:col>
                <xdr:colOff>563880</xdr:colOff>
                <xdr:row>44</xdr:row>
                <xdr:rowOff>160020</xdr:rowOff>
              </to>
            </anchor>
          </controlPr>
        </control>
      </mc:Choice>
      <mc:Fallback>
        <control shapeId="14345" r:id="rId17" name="CommandButton2"/>
      </mc:Fallback>
    </mc:AlternateContent>
    <mc:AlternateContent xmlns:mc="http://schemas.openxmlformats.org/markup-compatibility/2006">
      <mc:Choice Requires="x14">
        <control shapeId="14346" r:id="rId19" name="CommandButton3">
          <controlPr defaultSize="0" autoLine="0" altText="Button, click to reset default values for diagnoses of HIV " r:id="rId20">
            <anchor moveWithCells="1">
              <from>
                <xdr:col>9</xdr:col>
                <xdr:colOff>693420</xdr:colOff>
                <xdr:row>42</xdr:row>
                <xdr:rowOff>114300</xdr:rowOff>
              </from>
              <to>
                <xdr:col>11</xdr:col>
                <xdr:colOff>91440</xdr:colOff>
                <xdr:row>44</xdr:row>
                <xdr:rowOff>160020</xdr:rowOff>
              </to>
            </anchor>
          </controlPr>
        </control>
      </mc:Choice>
      <mc:Fallback>
        <control shapeId="14346" r:id="rId19" name="CommandButton3"/>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tabColor theme="9" tint="0.39997558519241921"/>
    <pageSetUpPr autoPageBreaks="0"/>
  </sheetPr>
  <dimension ref="B3:P45"/>
  <sheetViews>
    <sheetView zoomScale="80" zoomScaleNormal="80" workbookViewId="0"/>
  </sheetViews>
  <sheetFormatPr defaultColWidth="9.109375" defaultRowHeight="13.8"/>
  <cols>
    <col min="1" max="1" width="9.109375" style="48" customWidth="1"/>
    <col min="2" max="2" width="20.44140625" style="48" customWidth="1"/>
    <col min="3" max="3" width="9.109375" style="48" customWidth="1"/>
    <col min="4" max="4" width="11.109375" style="48" customWidth="1"/>
    <col min="5" max="7" width="9.109375" style="48"/>
    <col min="8" max="8" width="25.33203125" style="48" customWidth="1"/>
    <col min="9" max="9" width="26.109375" style="48" customWidth="1"/>
    <col min="10" max="16384" width="9.109375" style="48"/>
  </cols>
  <sheetData>
    <row r="3" spans="2:16">
      <c r="H3" s="82"/>
    </row>
    <row r="4" spans="2:16" ht="24.6">
      <c r="B4" s="54" t="s">
        <v>57</v>
      </c>
    </row>
    <row r="7" spans="2:16">
      <c r="D7" s="139"/>
      <c r="E7" s="139"/>
      <c r="F7" s="139"/>
      <c r="G7" s="139"/>
      <c r="H7" s="139"/>
      <c r="I7" s="139"/>
      <c r="J7" s="139"/>
      <c r="K7" s="139"/>
      <c r="L7" s="139"/>
      <c r="M7" s="139"/>
      <c r="N7" s="139"/>
      <c r="O7" s="139"/>
      <c r="P7" s="139"/>
    </row>
    <row r="8" spans="2:16" ht="16.8">
      <c r="D8" s="139"/>
      <c r="E8" s="139"/>
      <c r="F8" s="139"/>
      <c r="G8" s="139"/>
      <c r="H8" s="139"/>
      <c r="I8" s="509" t="s">
        <v>204</v>
      </c>
      <c r="J8" s="139"/>
      <c r="K8" s="139"/>
      <c r="L8" s="139"/>
      <c r="M8" s="139"/>
      <c r="N8" s="139"/>
      <c r="O8" s="139"/>
      <c r="P8" s="139"/>
    </row>
    <row r="9" spans="2:16">
      <c r="D9" s="139"/>
      <c r="E9" s="139"/>
      <c r="F9" s="139"/>
      <c r="G9" s="139"/>
      <c r="H9" s="139"/>
      <c r="I9" s="139"/>
      <c r="J9" s="139"/>
      <c r="K9" s="139"/>
      <c r="L9" s="139"/>
      <c r="M9" s="139"/>
      <c r="N9" s="139"/>
      <c r="O9" s="139"/>
      <c r="P9" s="139"/>
    </row>
    <row r="10" spans="2:16" ht="16.8">
      <c r="D10" s="139"/>
      <c r="E10" s="139"/>
      <c r="F10" s="139"/>
      <c r="G10" s="139"/>
      <c r="H10" s="139"/>
      <c r="I10" s="509" t="s">
        <v>202</v>
      </c>
      <c r="J10" s="139"/>
      <c r="K10" s="139"/>
      <c r="L10" s="139"/>
      <c r="M10" s="139"/>
      <c r="N10" s="139"/>
      <c r="O10" s="139"/>
      <c r="P10" s="139"/>
    </row>
    <row r="11" spans="2:16" ht="16.8">
      <c r="D11" s="139"/>
      <c r="E11" s="139"/>
      <c r="F11" s="139"/>
      <c r="G11" s="139"/>
      <c r="H11" s="139"/>
      <c r="I11" s="535" t="s">
        <v>203</v>
      </c>
      <c r="J11" s="139"/>
      <c r="K11" s="139"/>
      <c r="L11" s="139"/>
      <c r="M11" s="139"/>
      <c r="N11" s="139"/>
      <c r="O11" s="139"/>
      <c r="P11" s="139"/>
    </row>
    <row r="12" spans="2:16">
      <c r="D12" s="139"/>
      <c r="E12" s="139"/>
      <c r="F12" s="139"/>
      <c r="G12" s="139"/>
      <c r="H12" s="139"/>
      <c r="I12" s="139"/>
      <c r="J12" s="139"/>
      <c r="K12" s="139"/>
      <c r="L12" s="139"/>
      <c r="M12" s="139"/>
      <c r="N12" s="139"/>
      <c r="O12" s="139"/>
      <c r="P12" s="139"/>
    </row>
    <row r="13" spans="2:16" ht="14.4">
      <c r="D13" s="139"/>
      <c r="E13" s="139"/>
      <c r="F13" s="139"/>
      <c r="G13" s="139"/>
      <c r="H13" s="139"/>
      <c r="I13" s="536" t="s">
        <v>200</v>
      </c>
      <c r="J13" s="139"/>
      <c r="K13" s="139"/>
      <c r="L13" s="139"/>
      <c r="M13" s="139"/>
      <c r="N13" s="139"/>
      <c r="O13" s="139"/>
      <c r="P13" s="139"/>
    </row>
    <row r="14" spans="2:16">
      <c r="D14" s="139"/>
      <c r="E14" s="139"/>
      <c r="F14" s="139"/>
      <c r="G14" s="139"/>
      <c r="H14" s="139"/>
      <c r="I14" s="139"/>
      <c r="J14" s="139"/>
      <c r="K14" s="139"/>
      <c r="L14" s="139"/>
      <c r="M14" s="139"/>
      <c r="N14" s="139"/>
      <c r="O14" s="139"/>
      <c r="P14" s="139"/>
    </row>
    <row r="15" spans="2:16" ht="16.8">
      <c r="D15" s="139"/>
      <c r="E15" s="139"/>
      <c r="F15" s="139"/>
      <c r="G15" s="139"/>
      <c r="H15" s="139"/>
      <c r="I15" s="509" t="s">
        <v>201</v>
      </c>
      <c r="J15" s="139"/>
      <c r="K15" s="139"/>
      <c r="L15" s="139"/>
      <c r="M15" s="139"/>
      <c r="N15" s="139"/>
      <c r="O15" s="139"/>
      <c r="P15" s="139"/>
    </row>
    <row r="16" spans="2:16">
      <c r="D16" s="139"/>
      <c r="E16" s="139"/>
      <c r="F16" s="139"/>
      <c r="G16" s="139"/>
      <c r="H16" s="139"/>
      <c r="I16" s="139"/>
      <c r="J16" s="139"/>
      <c r="K16" s="139"/>
      <c r="L16" s="139"/>
      <c r="M16" s="139"/>
      <c r="N16" s="139"/>
      <c r="O16" s="139"/>
      <c r="P16" s="139"/>
    </row>
    <row r="23" spans="4:14" ht="16.8">
      <c r="D23" s="103" t="s">
        <v>127</v>
      </c>
    </row>
    <row r="25" spans="4:14">
      <c r="E25" s="139"/>
      <c r="F25" s="140" t="s">
        <v>140</v>
      </c>
      <c r="G25" s="139"/>
      <c r="I25" s="140" t="s">
        <v>141</v>
      </c>
    </row>
    <row r="26" spans="4:14">
      <c r="H26" s="55" t="s">
        <v>58</v>
      </c>
      <c r="K26" s="58" t="s">
        <v>7</v>
      </c>
    </row>
    <row r="27" spans="4:14">
      <c r="F27" s="307"/>
      <c r="J27" s="58" t="s">
        <v>4</v>
      </c>
      <c r="K27" s="58" t="s">
        <v>5</v>
      </c>
      <c r="L27" s="58" t="s">
        <v>6</v>
      </c>
    </row>
    <row r="28" spans="4:14">
      <c r="I28" s="92" t="s">
        <v>61</v>
      </c>
      <c r="J28" s="105"/>
      <c r="K28" s="105"/>
      <c r="L28" s="105"/>
    </row>
    <row r="29" spans="4:14">
      <c r="I29" s="95"/>
      <c r="J29" s="106"/>
      <c r="K29" s="107"/>
      <c r="L29" s="107"/>
    </row>
    <row r="30" spans="4:14">
      <c r="I30" s="108" t="s">
        <v>113</v>
      </c>
      <c r="J30" s="64"/>
      <c r="K30" s="64"/>
      <c r="L30" s="64"/>
      <c r="N30" s="103"/>
    </row>
    <row r="31" spans="4:14">
      <c r="I31" s="109"/>
    </row>
    <row r="32" spans="4:14">
      <c r="I32" s="108" t="s">
        <v>62</v>
      </c>
      <c r="J32" s="64"/>
      <c r="K32" s="64"/>
      <c r="L32" s="64"/>
    </row>
    <row r="33" spans="4:14" ht="15" customHeight="1"/>
    <row r="36" spans="4:14" ht="16.8">
      <c r="D36" s="103" t="s">
        <v>128</v>
      </c>
    </row>
    <row r="38" spans="4:14">
      <c r="E38" s="139"/>
      <c r="F38" s="140" t="s">
        <v>140</v>
      </c>
      <c r="G38" s="139"/>
      <c r="I38" s="140" t="s">
        <v>141</v>
      </c>
    </row>
    <row r="39" spans="4:14">
      <c r="H39" s="55" t="s">
        <v>58</v>
      </c>
      <c r="K39" s="58" t="s">
        <v>7</v>
      </c>
    </row>
    <row r="40" spans="4:14">
      <c r="F40" s="104"/>
      <c r="J40" s="58" t="s">
        <v>4</v>
      </c>
      <c r="K40" s="58" t="s">
        <v>5</v>
      </c>
      <c r="L40" s="58" t="s">
        <v>6</v>
      </c>
    </row>
    <row r="41" spans="4:14">
      <c r="I41" s="92" t="s">
        <v>59</v>
      </c>
      <c r="J41" s="105"/>
      <c r="K41" s="105"/>
      <c r="L41" s="105"/>
    </row>
    <row r="42" spans="4:14">
      <c r="I42" s="95"/>
      <c r="J42" s="106"/>
      <c r="K42" s="107"/>
      <c r="L42" s="107"/>
    </row>
    <row r="43" spans="4:14">
      <c r="I43" s="108" t="s">
        <v>114</v>
      </c>
      <c r="J43" s="64"/>
      <c r="K43" s="64"/>
      <c r="L43" s="64"/>
      <c r="N43" s="103"/>
    </row>
    <row r="44" spans="4:14">
      <c r="I44" s="109"/>
    </row>
    <row r="45" spans="4:14">
      <c r="I45" s="108" t="s">
        <v>60</v>
      </c>
      <c r="J45" s="64"/>
      <c r="K45" s="64"/>
      <c r="L45" s="64"/>
    </row>
  </sheetData>
  <protectedRanges>
    <protectedRange sqref="J41:L45" name="int2.2"/>
    <protectedRange sqref="F40" name="int2.1"/>
    <protectedRange sqref="J28:L32" name="int1.2"/>
    <protectedRange sqref="F27" name="int1.1"/>
  </protectedRanges>
  <pageMargins left="0.7" right="0.7" top="0.75" bottom="0.75" header="0.3" footer="0.3"/>
  <pageSetup orientation="portrait" horizontalDpi="1200" verticalDpi="1200" r:id="rId1"/>
  <drawing r:id="rId2"/>
  <legacyDrawing r:id="rId3"/>
  <controls>
    <mc:AlternateContent xmlns:mc="http://schemas.openxmlformats.org/markup-compatibility/2006">
      <mc:Choice Requires="x14">
        <control shapeId="24577" r:id="rId4" name="CheckBox1">
          <controlPr defaultSize="0" autoLine="0" altText="Please check if you wish to apply this intervention" r:id="rId5">
            <anchor moveWithCells="1">
              <from>
                <xdr:col>1</xdr:col>
                <xdr:colOff>228600</xdr:colOff>
                <xdr:row>20</xdr:row>
                <xdr:rowOff>152400</xdr:rowOff>
              </from>
              <to>
                <xdr:col>2</xdr:col>
                <xdr:colOff>342900</xdr:colOff>
                <xdr:row>26</xdr:row>
                <xdr:rowOff>0</xdr:rowOff>
              </to>
            </anchor>
          </controlPr>
        </control>
      </mc:Choice>
      <mc:Fallback>
        <control shapeId="24577" r:id="rId4" name="CheckBox1"/>
      </mc:Fallback>
    </mc:AlternateContent>
    <mc:AlternateContent xmlns:mc="http://schemas.openxmlformats.org/markup-compatibility/2006">
      <mc:Choice Requires="x14">
        <control shapeId="24578" r:id="rId6" name="CheckBox2">
          <controlPr defaultSize="0" autoLine="0" altText="Please check if you wish to apply this intervention" r:id="rId7">
            <anchor moveWithCells="1">
              <from>
                <xdr:col>1</xdr:col>
                <xdr:colOff>99060</xdr:colOff>
                <xdr:row>33</xdr:row>
                <xdr:rowOff>0</xdr:rowOff>
              </from>
              <to>
                <xdr:col>2</xdr:col>
                <xdr:colOff>396240</xdr:colOff>
                <xdr:row>38</xdr:row>
                <xdr:rowOff>114300</xdr:rowOff>
              </to>
            </anchor>
          </controlPr>
        </control>
      </mc:Choice>
      <mc:Fallback>
        <control shapeId="24578" r:id="rId6" name="CheckBox2"/>
      </mc:Fallback>
    </mc:AlternateContent>
    <mc:AlternateContent xmlns:mc="http://schemas.openxmlformats.org/markup-compatibility/2006">
      <mc:Choice Requires="x14">
        <control shapeId="24579" r:id="rId8" name="CommandButton1">
          <controlPr defaultSize="0" autoLine="0" altText="Button, click to proceed to results page_x000a_" r:id="rId9">
            <anchor moveWithCells="1">
              <from>
                <xdr:col>6</xdr:col>
                <xdr:colOff>312420</xdr:colOff>
                <xdr:row>48</xdr:row>
                <xdr:rowOff>76200</xdr:rowOff>
              </from>
              <to>
                <xdr:col>8</xdr:col>
                <xdr:colOff>1310640</xdr:colOff>
                <xdr:row>53</xdr:row>
                <xdr:rowOff>114300</xdr:rowOff>
              </to>
            </anchor>
          </controlPr>
        </control>
      </mc:Choice>
      <mc:Fallback>
        <control shapeId="24579" r:id="rId8" name="CommandButton1"/>
      </mc:Fallback>
    </mc:AlternateContent>
    <mc:AlternateContent xmlns:mc="http://schemas.openxmlformats.org/markup-compatibility/2006">
      <mc:Choice Requires="x14">
        <control shapeId="24580" r:id="rId10" name="CommandButton2">
          <controlPr defaultSize="0" autoLine="0" altText="Button, click to reset the values of the intervetion to decrease the frequency of sex acts" r:id="rId11">
            <anchor moveWithCells="1">
              <from>
                <xdr:col>12</xdr:col>
                <xdr:colOff>381000</xdr:colOff>
                <xdr:row>28</xdr:row>
                <xdr:rowOff>45720</xdr:rowOff>
              </from>
              <to>
                <xdr:col>14</xdr:col>
                <xdr:colOff>472440</xdr:colOff>
                <xdr:row>31</xdr:row>
                <xdr:rowOff>45720</xdr:rowOff>
              </to>
            </anchor>
          </controlPr>
        </control>
      </mc:Choice>
      <mc:Fallback>
        <control shapeId="24580" r:id="rId10" name="CommandButton2"/>
      </mc:Fallback>
    </mc:AlternateContent>
    <mc:AlternateContent xmlns:mc="http://schemas.openxmlformats.org/markup-compatibility/2006">
      <mc:Choice Requires="x14">
        <control shapeId="24581" r:id="rId12" name="CommandButton3">
          <controlPr defaultSize="0" autoLine="0" altText="Button, click to reset the values of the intervetion to increase the probability of condom use_x000a_" r:id="rId13">
            <anchor moveWithCells="1">
              <from>
                <xdr:col>12</xdr:col>
                <xdr:colOff>381000</xdr:colOff>
                <xdr:row>41</xdr:row>
                <xdr:rowOff>7620</xdr:rowOff>
              </from>
              <to>
                <xdr:col>14</xdr:col>
                <xdr:colOff>472440</xdr:colOff>
                <xdr:row>44</xdr:row>
                <xdr:rowOff>53340</xdr:rowOff>
              </to>
            </anchor>
          </controlPr>
        </control>
      </mc:Choice>
      <mc:Fallback>
        <control shapeId="24581" r:id="rId12" name="CommandButton3"/>
      </mc:Fallback>
    </mc:AlternateContent>
    <mc:AlternateContent xmlns:mc="http://schemas.openxmlformats.org/markup-compatibility/2006">
      <mc:Choice Requires="x14">
        <control shapeId="24582" r:id="rId14" name="CommandButton4">
          <controlPr defaultSize="0" autoLine="0" altText="Back to Table of Contents" r:id="rId15">
            <anchor moveWithCells="1">
              <from>
                <xdr:col>16</xdr:col>
                <xdr:colOff>350520</xdr:colOff>
                <xdr:row>2</xdr:row>
                <xdr:rowOff>22860</xdr:rowOff>
              </from>
              <to>
                <xdr:col>19</xdr:col>
                <xdr:colOff>594360</xdr:colOff>
                <xdr:row>3</xdr:row>
                <xdr:rowOff>297180</xdr:rowOff>
              </to>
            </anchor>
          </controlPr>
        </control>
      </mc:Choice>
      <mc:Fallback>
        <control shapeId="24582" r:id="rId14" name="CommandButton4"/>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theme="9" tint="0.39997558519241921"/>
    <pageSetUpPr autoPageBreaks="0"/>
  </sheetPr>
  <dimension ref="A1:AI42"/>
  <sheetViews>
    <sheetView zoomScale="80" zoomScaleNormal="80" workbookViewId="0"/>
  </sheetViews>
  <sheetFormatPr defaultColWidth="9.109375" defaultRowHeight="13.8"/>
  <cols>
    <col min="1" max="1" width="45.33203125" style="48" customWidth="1"/>
    <col min="2" max="2" width="52.6640625" style="48" customWidth="1"/>
    <col min="3" max="5" width="20.6640625" style="48" customWidth="1"/>
    <col min="6" max="6" width="5" style="48" customWidth="1"/>
    <col min="7" max="35" width="10.33203125" style="48" customWidth="1"/>
    <col min="36" max="16384" width="9.109375" style="48"/>
  </cols>
  <sheetData>
    <row r="1" spans="1:35" ht="30" customHeight="1">
      <c r="A1" s="110"/>
      <c r="B1" s="110"/>
      <c r="C1" s="110"/>
      <c r="D1" s="110"/>
      <c r="E1" s="110"/>
      <c r="F1" s="110"/>
      <c r="H1" s="110"/>
      <c r="I1" s="110"/>
      <c r="J1" s="110"/>
      <c r="K1" s="110"/>
      <c r="L1" s="110"/>
      <c r="M1" s="110"/>
      <c r="N1" s="110"/>
      <c r="O1" s="110"/>
      <c r="P1" s="110"/>
      <c r="Q1" s="110"/>
      <c r="R1" s="110"/>
      <c r="S1" s="110"/>
      <c r="T1" s="110"/>
      <c r="U1" s="110"/>
      <c r="V1" s="110"/>
      <c r="W1" s="110"/>
      <c r="X1" s="110"/>
      <c r="Y1" s="110"/>
      <c r="Z1" s="110"/>
      <c r="AA1" s="110"/>
      <c r="AB1" s="110"/>
      <c r="AC1" s="110"/>
      <c r="AD1" s="110"/>
      <c r="AE1" s="110"/>
      <c r="AF1" s="110"/>
      <c r="AG1" s="110"/>
    </row>
    <row r="2" spans="1:35" ht="27" customHeight="1">
      <c r="A2" s="110" t="s">
        <v>153</v>
      </c>
      <c r="B2" s="110"/>
      <c r="C2" s="110"/>
      <c r="D2" s="110"/>
      <c r="E2" s="110"/>
      <c r="F2" s="110"/>
      <c r="Q2" s="82"/>
    </row>
    <row r="3" spans="1:35" ht="35.25" customHeight="1">
      <c r="A3" s="110"/>
      <c r="B3" s="110"/>
      <c r="C3" s="110"/>
      <c r="D3" s="110"/>
      <c r="E3" s="110"/>
      <c r="F3" s="111"/>
      <c r="G3" s="540"/>
      <c r="H3" s="540"/>
      <c r="I3" s="540"/>
      <c r="J3" s="540"/>
      <c r="K3" s="540"/>
      <c r="L3" s="540"/>
      <c r="M3" s="540"/>
      <c r="N3" s="540"/>
      <c r="O3" s="540"/>
      <c r="P3" s="540"/>
      <c r="Q3" s="541"/>
      <c r="R3" s="541"/>
      <c r="S3" s="538" t="s">
        <v>206</v>
      </c>
      <c r="T3" s="541"/>
      <c r="U3" s="541"/>
      <c r="V3" s="540"/>
      <c r="W3" s="540"/>
      <c r="X3" s="540"/>
      <c r="Y3" s="540"/>
      <c r="Z3" s="540"/>
      <c r="AA3" s="540"/>
      <c r="AB3" s="540"/>
      <c r="AC3" s="540"/>
      <c r="AD3" s="540"/>
      <c r="AE3" s="540"/>
      <c r="AF3" s="540"/>
      <c r="AG3" s="540"/>
    </row>
    <row r="4" spans="1:35" ht="35.25" customHeight="1">
      <c r="A4" s="110"/>
      <c r="B4" s="539" t="s">
        <v>205</v>
      </c>
      <c r="C4" s="139"/>
      <c r="D4" s="540"/>
      <c r="E4" s="540"/>
      <c r="F4" s="111"/>
      <c r="G4" s="112"/>
      <c r="H4" s="112"/>
      <c r="I4" s="112"/>
      <c r="J4" s="112"/>
      <c r="K4" s="112"/>
      <c r="L4" s="112"/>
      <c r="M4" s="112"/>
      <c r="N4" s="112"/>
      <c r="O4" s="112"/>
      <c r="P4" s="112"/>
      <c r="Q4" s="112"/>
      <c r="R4" s="112"/>
      <c r="S4" s="112"/>
      <c r="T4" s="112"/>
      <c r="U4" s="112"/>
      <c r="V4" s="112"/>
      <c r="W4" s="112"/>
      <c r="X4" s="112"/>
      <c r="Y4" s="112"/>
      <c r="Z4" s="112"/>
      <c r="AA4" s="112"/>
      <c r="AB4" s="112"/>
      <c r="AC4" s="354" t="s">
        <v>121</v>
      </c>
      <c r="AE4" s="112"/>
      <c r="AF4" s="112"/>
      <c r="AG4" s="112"/>
    </row>
    <row r="5" spans="1:35" ht="24.75" customHeight="1">
      <c r="A5" s="407"/>
      <c r="B5" s="110"/>
      <c r="C5" s="110"/>
      <c r="D5" s="110"/>
      <c r="E5" s="110"/>
      <c r="G5" s="549"/>
      <c r="H5" s="550"/>
      <c r="I5" s="550"/>
      <c r="J5" s="550"/>
      <c r="K5" s="493" t="s">
        <v>49</v>
      </c>
      <c r="L5" s="550"/>
      <c r="M5" s="550"/>
      <c r="N5" s="550"/>
      <c r="O5" s="551"/>
      <c r="P5" s="549"/>
      <c r="Q5" s="550"/>
      <c r="R5" s="550"/>
      <c r="S5" s="550"/>
      <c r="T5" s="501" t="s">
        <v>50</v>
      </c>
      <c r="U5" s="550"/>
      <c r="V5" s="550"/>
      <c r="W5" s="550"/>
      <c r="X5" s="551"/>
      <c r="Y5" s="549"/>
      <c r="Z5" s="501" t="s">
        <v>39</v>
      </c>
      <c r="AA5" s="550"/>
      <c r="AB5" s="333"/>
      <c r="AC5" s="552"/>
      <c r="AD5" s="502" t="s">
        <v>120</v>
      </c>
      <c r="AE5" s="553"/>
      <c r="AF5" s="554"/>
      <c r="AG5" s="555" t="s">
        <v>81</v>
      </c>
      <c r="AH5" s="553"/>
      <c r="AI5" s="353" t="s">
        <v>39</v>
      </c>
    </row>
    <row r="6" spans="1:35" ht="18" customHeight="1">
      <c r="A6" s="110"/>
      <c r="B6" s="110"/>
      <c r="C6" s="110"/>
      <c r="D6" s="110"/>
      <c r="E6" s="110"/>
      <c r="G6" s="548"/>
      <c r="H6" s="492" t="s">
        <v>73</v>
      </c>
      <c r="I6" s="544"/>
      <c r="J6" s="547"/>
      <c r="K6" s="492" t="s">
        <v>74</v>
      </c>
      <c r="L6" s="544"/>
      <c r="M6" s="547"/>
      <c r="N6" s="492" t="s">
        <v>75</v>
      </c>
      <c r="O6" s="546"/>
      <c r="P6" s="542"/>
      <c r="Q6" s="500" t="s">
        <v>73</v>
      </c>
      <c r="R6" s="544"/>
      <c r="S6" s="545"/>
      <c r="T6" s="500" t="s">
        <v>74</v>
      </c>
      <c r="U6" s="544"/>
      <c r="V6" s="545"/>
      <c r="W6" s="500" t="s">
        <v>75</v>
      </c>
      <c r="X6" s="546"/>
      <c r="Y6" s="542"/>
      <c r="Z6" s="492" t="s">
        <v>65</v>
      </c>
      <c r="AA6" s="543"/>
      <c r="AB6" s="117"/>
      <c r="AC6" s="372" t="s">
        <v>65</v>
      </c>
      <c r="AD6" s="372" t="s">
        <v>95</v>
      </c>
      <c r="AE6" s="373" t="s">
        <v>67</v>
      </c>
      <c r="AF6" s="374" t="s">
        <v>65</v>
      </c>
      <c r="AG6" s="372" t="s">
        <v>95</v>
      </c>
      <c r="AH6" s="375" t="s">
        <v>67</v>
      </c>
      <c r="AI6" s="376" t="s">
        <v>65</v>
      </c>
    </row>
    <row r="7" spans="1:35" ht="18" customHeight="1" thickBot="1">
      <c r="A7" s="103"/>
      <c r="B7" s="378"/>
      <c r="C7" s="379" t="s">
        <v>42</v>
      </c>
      <c r="D7" s="379" t="s">
        <v>43</v>
      </c>
      <c r="E7" s="379" t="s">
        <v>39</v>
      </c>
      <c r="F7" s="58"/>
      <c r="G7" s="367" t="s">
        <v>4</v>
      </c>
      <c r="H7" s="368" t="s">
        <v>5</v>
      </c>
      <c r="I7" s="369">
        <v>18</v>
      </c>
      <c r="J7" s="370" t="s">
        <v>4</v>
      </c>
      <c r="K7" s="368" t="s">
        <v>5</v>
      </c>
      <c r="L7" s="369">
        <v>18</v>
      </c>
      <c r="M7" s="370" t="s">
        <v>4</v>
      </c>
      <c r="N7" s="368" t="s">
        <v>5</v>
      </c>
      <c r="O7" s="371">
        <v>18</v>
      </c>
      <c r="P7" s="367" t="s">
        <v>4</v>
      </c>
      <c r="Q7" s="368" t="s">
        <v>5</v>
      </c>
      <c r="R7" s="369">
        <v>18</v>
      </c>
      <c r="S7" s="370" t="s">
        <v>4</v>
      </c>
      <c r="T7" s="368" t="s">
        <v>5</v>
      </c>
      <c r="U7" s="369">
        <v>18</v>
      </c>
      <c r="V7" s="368" t="s">
        <v>4</v>
      </c>
      <c r="W7" s="368" t="s">
        <v>5</v>
      </c>
      <c r="X7" s="371">
        <v>18</v>
      </c>
      <c r="Y7" s="368" t="s">
        <v>4</v>
      </c>
      <c r="Z7" s="368" t="s">
        <v>5</v>
      </c>
      <c r="AA7" s="368">
        <v>18</v>
      </c>
      <c r="AB7" s="118"/>
      <c r="AC7" s="418">
        <v>4237.8840326937598</v>
      </c>
      <c r="AD7" s="418">
        <v>20197.793832452051</v>
      </c>
      <c r="AE7" s="419">
        <v>40562.100220416738</v>
      </c>
      <c r="AF7" s="420">
        <v>4176.777800524017</v>
      </c>
      <c r="AG7" s="418">
        <v>68223.023276249878</v>
      </c>
      <c r="AH7" s="421">
        <v>257142.65835650556</v>
      </c>
      <c r="AI7" s="422">
        <v>955.1156899933078</v>
      </c>
    </row>
    <row r="8" spans="1:35" ht="18" customHeight="1">
      <c r="A8" s="103"/>
      <c r="B8" s="645" t="s">
        <v>245</v>
      </c>
      <c r="C8" s="356"/>
      <c r="D8" s="356"/>
      <c r="E8" s="356"/>
      <c r="F8" s="114"/>
      <c r="G8" s="357"/>
      <c r="H8" s="358"/>
      <c r="I8" s="359"/>
      <c r="J8" s="358"/>
      <c r="K8" s="358"/>
      <c r="L8" s="359"/>
      <c r="M8" s="358"/>
      <c r="N8" s="358"/>
      <c r="O8" s="363"/>
      <c r="P8" s="357"/>
      <c r="Q8" s="358"/>
      <c r="R8" s="359"/>
      <c r="S8" s="364"/>
      <c r="T8" s="358"/>
      <c r="U8" s="359"/>
      <c r="V8" s="364"/>
      <c r="W8" s="358"/>
      <c r="X8" s="363"/>
      <c r="Y8" s="357"/>
      <c r="Z8" s="358"/>
      <c r="AA8" s="358"/>
      <c r="AB8" s="334"/>
      <c r="AC8" s="556" t="s">
        <v>207</v>
      </c>
      <c r="AD8" s="556"/>
      <c r="AE8" s="556"/>
      <c r="AF8" s="556"/>
      <c r="AG8" s="556"/>
      <c r="AH8" s="556"/>
      <c r="AI8" s="556"/>
    </row>
    <row r="9" spans="1:35" ht="18" customHeight="1">
      <c r="A9" s="55"/>
      <c r="B9" s="378" t="s">
        <v>246</v>
      </c>
      <c r="C9" s="356"/>
      <c r="D9" s="356"/>
      <c r="E9" s="356"/>
      <c r="F9" s="114"/>
      <c r="G9" s="360"/>
      <c r="H9" s="361"/>
      <c r="I9" s="362"/>
      <c r="J9" s="361"/>
      <c r="K9" s="361"/>
      <c r="L9" s="362"/>
      <c r="M9" s="361"/>
      <c r="N9" s="361"/>
      <c r="O9" s="365"/>
      <c r="P9" s="361"/>
      <c r="Q9" s="361"/>
      <c r="R9" s="362"/>
      <c r="S9" s="361"/>
      <c r="T9" s="361"/>
      <c r="U9" s="362"/>
      <c r="V9" s="361"/>
      <c r="W9" s="361"/>
      <c r="X9" s="365"/>
      <c r="Y9" s="361"/>
      <c r="Z9" s="361"/>
      <c r="AA9" s="361"/>
      <c r="AB9" s="334"/>
      <c r="AC9" s="557" t="s">
        <v>208</v>
      </c>
      <c r="AD9" s="557"/>
      <c r="AE9" s="557"/>
      <c r="AF9" s="557"/>
      <c r="AG9" s="557"/>
      <c r="AH9" s="557"/>
      <c r="AI9" s="557"/>
    </row>
    <row r="10" spans="1:35" ht="12.75" customHeight="1">
      <c r="B10" s="63"/>
      <c r="G10" s="101"/>
      <c r="H10" s="83"/>
      <c r="I10" s="83"/>
      <c r="J10" s="83"/>
      <c r="K10" s="58"/>
      <c r="L10" s="58"/>
      <c r="M10" s="58"/>
      <c r="N10" s="58"/>
      <c r="O10" s="58"/>
      <c r="P10" s="58"/>
      <c r="Q10" s="58"/>
      <c r="R10" s="83"/>
      <c r="S10" s="101"/>
      <c r="T10" s="101"/>
      <c r="U10" s="101"/>
      <c r="V10" s="101"/>
      <c r="W10" s="58"/>
      <c r="X10" s="58"/>
      <c r="Y10" s="58"/>
      <c r="Z10" s="58"/>
      <c r="AA10" s="58"/>
      <c r="AB10" s="83"/>
      <c r="AC10" s="557" t="s">
        <v>209</v>
      </c>
      <c r="AD10" s="557"/>
      <c r="AE10" s="557"/>
      <c r="AF10" s="557"/>
      <c r="AG10" s="557"/>
      <c r="AH10" s="557"/>
      <c r="AI10" s="557"/>
    </row>
    <row r="11" spans="1:35" ht="13.5" customHeight="1">
      <c r="B11" s="63"/>
      <c r="G11" s="101"/>
      <c r="H11" s="83"/>
      <c r="I11" s="83"/>
      <c r="J11" s="83"/>
      <c r="K11" s="58"/>
      <c r="L11" s="58"/>
      <c r="M11" s="58"/>
      <c r="N11" s="58"/>
      <c r="O11" s="58"/>
      <c r="P11" s="58"/>
      <c r="Q11" s="58"/>
      <c r="R11" s="58"/>
      <c r="S11" s="58"/>
      <c r="T11" s="58"/>
      <c r="U11" s="58"/>
      <c r="V11" s="58"/>
      <c r="W11" s="58"/>
      <c r="X11" s="58"/>
      <c r="Y11" s="58"/>
      <c r="Z11" s="58"/>
      <c r="AA11" s="58"/>
      <c r="AB11" s="83"/>
      <c r="AC11" s="83"/>
      <c r="AD11" s="83"/>
      <c r="AE11" s="83"/>
      <c r="AF11" s="115"/>
      <c r="AG11" s="115"/>
      <c r="AH11" s="116"/>
      <c r="AI11" s="116"/>
    </row>
    <row r="12" spans="1:35" ht="6.75" customHeight="1">
      <c r="B12" s="63"/>
      <c r="G12" s="117"/>
      <c r="H12" s="117"/>
      <c r="I12" s="117"/>
      <c r="J12" s="491"/>
      <c r="K12" s="118"/>
      <c r="L12" s="118"/>
      <c r="M12" s="118"/>
      <c r="N12" s="118"/>
      <c r="O12" s="118"/>
      <c r="P12" s="118"/>
      <c r="Q12" s="118"/>
      <c r="R12" s="118"/>
      <c r="S12" s="118"/>
      <c r="T12" s="118"/>
      <c r="U12" s="118"/>
      <c r="V12" s="118"/>
      <c r="W12" s="118"/>
      <c r="X12" s="118"/>
      <c r="Y12" s="118"/>
      <c r="Z12" s="118"/>
      <c r="AA12" s="118"/>
      <c r="AB12" s="118"/>
      <c r="AC12" s="118"/>
      <c r="AD12" s="118"/>
      <c r="AE12" s="118"/>
      <c r="AF12" s="118"/>
      <c r="AG12" s="118"/>
    </row>
    <row r="13" spans="1:35" ht="18" customHeight="1">
      <c r="B13" s="151"/>
      <c r="C13" s="499" t="s">
        <v>42</v>
      </c>
      <c r="D13" s="499" t="s">
        <v>43</v>
      </c>
      <c r="E13" s="499" t="s">
        <v>39</v>
      </c>
      <c r="G13" s="542"/>
      <c r="H13" s="500" t="s">
        <v>73</v>
      </c>
      <c r="I13" s="544"/>
      <c r="J13" s="545"/>
      <c r="K13" s="543" t="s">
        <v>74</v>
      </c>
      <c r="L13" s="544"/>
      <c r="M13" s="545"/>
      <c r="N13" s="500" t="s">
        <v>75</v>
      </c>
      <c r="O13" s="546"/>
      <c r="P13" s="542"/>
      <c r="Q13" s="500" t="s">
        <v>73</v>
      </c>
      <c r="R13" s="544"/>
      <c r="S13" s="545"/>
      <c r="T13" s="500" t="s">
        <v>74</v>
      </c>
      <c r="U13" s="544"/>
      <c r="V13" s="545"/>
      <c r="W13" s="543" t="s">
        <v>75</v>
      </c>
      <c r="X13" s="546"/>
      <c r="Y13" s="542"/>
      <c r="Z13" s="543" t="s">
        <v>65</v>
      </c>
      <c r="AA13" s="543"/>
      <c r="AB13" s="117"/>
      <c r="AC13" s="117"/>
      <c r="AD13" s="117"/>
      <c r="AE13" s="117"/>
      <c r="AF13" s="117"/>
      <c r="AG13" s="117"/>
    </row>
    <row r="14" spans="1:35" ht="18" customHeight="1" thickBot="1">
      <c r="B14" s="643"/>
      <c r="C14" s="499"/>
      <c r="D14" s="499"/>
      <c r="E14" s="499"/>
      <c r="F14" s="58"/>
      <c r="G14" s="367" t="s">
        <v>4</v>
      </c>
      <c r="H14" s="368" t="s">
        <v>5</v>
      </c>
      <c r="I14" s="369">
        <v>18</v>
      </c>
      <c r="J14" s="368" t="s">
        <v>4</v>
      </c>
      <c r="K14" s="368" t="s">
        <v>5</v>
      </c>
      <c r="L14" s="369">
        <v>18</v>
      </c>
      <c r="M14" s="370" t="s">
        <v>4</v>
      </c>
      <c r="N14" s="368" t="s">
        <v>5</v>
      </c>
      <c r="O14" s="371">
        <v>18</v>
      </c>
      <c r="P14" s="367" t="s">
        <v>4</v>
      </c>
      <c r="Q14" s="368" t="s">
        <v>5</v>
      </c>
      <c r="R14" s="369">
        <v>18</v>
      </c>
      <c r="S14" s="370" t="s">
        <v>4</v>
      </c>
      <c r="T14" s="368" t="s">
        <v>5</v>
      </c>
      <c r="U14" s="369">
        <v>18</v>
      </c>
      <c r="V14" s="368" t="s">
        <v>4</v>
      </c>
      <c r="W14" s="368" t="s">
        <v>5</v>
      </c>
      <c r="X14" s="371">
        <v>18</v>
      </c>
      <c r="Y14" s="367" t="s">
        <v>4</v>
      </c>
      <c r="Z14" s="368" t="s">
        <v>5</v>
      </c>
      <c r="AA14" s="368">
        <v>18</v>
      </c>
      <c r="AB14" s="118"/>
      <c r="AC14" s="118"/>
      <c r="AD14" s="118"/>
      <c r="AE14" s="118"/>
      <c r="AF14" s="118"/>
      <c r="AG14" s="118"/>
    </row>
    <row r="15" spans="1:35" ht="18" customHeight="1">
      <c r="B15" s="645" t="s">
        <v>245</v>
      </c>
      <c r="C15" s="356"/>
      <c r="D15" s="356"/>
      <c r="E15" s="356"/>
      <c r="F15" s="119"/>
      <c r="G15" s="357"/>
      <c r="H15" s="358"/>
      <c r="I15" s="359"/>
      <c r="J15" s="364"/>
      <c r="K15" s="358"/>
      <c r="L15" s="359"/>
      <c r="M15" s="364"/>
      <c r="N15" s="358"/>
      <c r="O15" s="363"/>
      <c r="P15" s="357"/>
      <c r="Q15" s="358"/>
      <c r="R15" s="359"/>
      <c r="S15" s="364"/>
      <c r="T15" s="358"/>
      <c r="U15" s="359"/>
      <c r="V15" s="364"/>
      <c r="W15" s="358"/>
      <c r="X15" s="363"/>
      <c r="Y15" s="357"/>
      <c r="Z15" s="358"/>
      <c r="AA15" s="358"/>
      <c r="AB15" s="334"/>
      <c r="AC15" s="334"/>
      <c r="AD15" s="334"/>
      <c r="AE15" s="334"/>
      <c r="AF15" s="334"/>
      <c r="AG15" s="334"/>
    </row>
    <row r="16" spans="1:35" ht="18" customHeight="1" thickBot="1">
      <c r="B16" s="378" t="s">
        <v>246</v>
      </c>
      <c r="C16" s="356"/>
      <c r="D16" s="356"/>
      <c r="E16" s="356"/>
      <c r="F16" s="119"/>
      <c r="G16" s="360"/>
      <c r="H16" s="361"/>
      <c r="I16" s="362"/>
      <c r="J16" s="366"/>
      <c r="K16" s="361"/>
      <c r="L16" s="362"/>
      <c r="M16" s="366"/>
      <c r="N16" s="361"/>
      <c r="O16" s="365"/>
      <c r="P16" s="360"/>
      <c r="Q16" s="361"/>
      <c r="R16" s="362"/>
      <c r="S16" s="366"/>
      <c r="T16" s="361"/>
      <c r="U16" s="362"/>
      <c r="V16" s="366"/>
      <c r="W16" s="361"/>
      <c r="X16" s="365"/>
      <c r="Y16" s="360"/>
      <c r="Z16" s="361"/>
      <c r="AA16" s="361"/>
      <c r="AB16" s="334"/>
      <c r="AC16" s="334"/>
      <c r="AD16" s="334"/>
      <c r="AE16" s="334"/>
      <c r="AF16" s="334"/>
      <c r="AG16" s="334"/>
    </row>
    <row r="17" spans="2:33" ht="18" customHeight="1">
      <c r="B17" s="382" t="s">
        <v>247</v>
      </c>
      <c r="C17" s="383"/>
      <c r="D17" s="383"/>
      <c r="E17" s="384"/>
      <c r="F17" s="114"/>
      <c r="G17" s="120"/>
      <c r="H17" s="121"/>
      <c r="I17" s="122"/>
      <c r="J17" s="123"/>
      <c r="K17" s="121"/>
      <c r="L17" s="122"/>
      <c r="M17" s="123"/>
      <c r="N17" s="121"/>
      <c r="O17" s="124"/>
      <c r="P17" s="120"/>
      <c r="Q17" s="121"/>
      <c r="R17" s="122"/>
      <c r="S17" s="123"/>
      <c r="T17" s="121"/>
      <c r="U17" s="122"/>
      <c r="V17" s="123"/>
      <c r="W17" s="121"/>
      <c r="X17" s="124"/>
      <c r="Y17" s="120"/>
      <c r="Z17" s="121"/>
      <c r="AA17" s="121"/>
      <c r="AB17" s="334"/>
      <c r="AC17" s="334"/>
      <c r="AD17" s="334"/>
      <c r="AE17" s="334"/>
      <c r="AF17" s="334"/>
      <c r="AG17" s="334"/>
    </row>
    <row r="18" spans="2:33" ht="18" customHeight="1" thickBot="1">
      <c r="B18" s="385" t="s">
        <v>248</v>
      </c>
      <c r="C18" s="386"/>
      <c r="D18" s="386"/>
      <c r="E18" s="387"/>
      <c r="F18" s="114"/>
      <c r="G18" s="125"/>
      <c r="H18" s="126"/>
      <c r="I18" s="127"/>
      <c r="J18" s="126"/>
      <c r="K18" s="126"/>
      <c r="L18" s="127"/>
      <c r="M18" s="126"/>
      <c r="N18" s="126"/>
      <c r="O18" s="128"/>
      <c r="P18" s="126"/>
      <c r="Q18" s="126"/>
      <c r="R18" s="127"/>
      <c r="S18" s="126"/>
      <c r="T18" s="126"/>
      <c r="U18" s="127"/>
      <c r="V18" s="126"/>
      <c r="W18" s="126"/>
      <c r="X18" s="128"/>
      <c r="Y18" s="126"/>
      <c r="Z18" s="126"/>
      <c r="AA18" s="126"/>
      <c r="AB18" s="335"/>
      <c r="AC18" s="335"/>
      <c r="AD18" s="335"/>
      <c r="AE18" s="335"/>
      <c r="AF18" s="335"/>
      <c r="AG18" s="335"/>
    </row>
    <row r="19" spans="2:33" ht="18" customHeight="1">
      <c r="B19" s="129"/>
      <c r="C19" s="49"/>
      <c r="D19" s="49"/>
      <c r="E19" s="49"/>
      <c r="G19" s="58"/>
      <c r="H19" s="58"/>
      <c r="I19" s="58"/>
      <c r="J19" s="58"/>
      <c r="K19" s="58"/>
      <c r="L19" s="58"/>
      <c r="M19" s="58"/>
      <c r="N19" s="58"/>
      <c r="O19" s="58"/>
      <c r="P19" s="58"/>
      <c r="Q19" s="58"/>
      <c r="R19" s="58"/>
      <c r="S19" s="58"/>
      <c r="T19" s="58"/>
      <c r="U19" s="58"/>
      <c r="V19" s="58"/>
      <c r="W19" s="58"/>
      <c r="X19" s="58"/>
      <c r="Y19" s="58"/>
      <c r="Z19" s="58"/>
      <c r="AA19" s="58"/>
      <c r="AB19" s="83"/>
      <c r="AC19" s="83"/>
      <c r="AD19" s="83"/>
      <c r="AE19" s="83"/>
      <c r="AF19" s="83"/>
      <c r="AG19" s="83"/>
    </row>
    <row r="20" spans="2:33" ht="18" customHeight="1">
      <c r="B20" s="129"/>
      <c r="C20" s="49"/>
      <c r="D20" s="49"/>
      <c r="E20" s="49"/>
      <c r="G20" s="118"/>
      <c r="H20" s="118"/>
      <c r="I20" s="118"/>
      <c r="J20" s="118"/>
      <c r="K20" s="118"/>
      <c r="L20" s="118"/>
      <c r="M20" s="118"/>
      <c r="N20" s="118"/>
      <c r="O20" s="118"/>
      <c r="P20" s="118"/>
      <c r="Q20" s="118"/>
      <c r="R20" s="118"/>
      <c r="S20" s="118"/>
      <c r="T20" s="118"/>
      <c r="U20" s="118"/>
      <c r="V20" s="118"/>
      <c r="W20" s="118"/>
      <c r="X20" s="118"/>
      <c r="Y20" s="118"/>
      <c r="Z20" s="118"/>
      <c r="AA20" s="118"/>
      <c r="AB20" s="118"/>
      <c r="AC20" s="118"/>
      <c r="AD20" s="118"/>
      <c r="AE20" s="118"/>
      <c r="AF20" s="118"/>
      <c r="AG20" s="118"/>
    </row>
    <row r="21" spans="2:33" ht="18" customHeight="1">
      <c r="B21" s="381"/>
      <c r="C21" s="499" t="s">
        <v>42</v>
      </c>
      <c r="D21" s="499" t="s">
        <v>43</v>
      </c>
      <c r="E21" s="499" t="s">
        <v>39</v>
      </c>
      <c r="G21" s="542"/>
      <c r="H21" s="500" t="s">
        <v>73</v>
      </c>
      <c r="I21" s="544"/>
      <c r="J21" s="545"/>
      <c r="K21" s="500" t="s">
        <v>74</v>
      </c>
      <c r="L21" s="544"/>
      <c r="M21" s="545"/>
      <c r="N21" s="500" t="s">
        <v>75</v>
      </c>
      <c r="O21" s="546"/>
      <c r="P21" s="542"/>
      <c r="Q21" s="500" t="s">
        <v>73</v>
      </c>
      <c r="R21" s="544"/>
      <c r="S21" s="545"/>
      <c r="T21" s="500" t="s">
        <v>74</v>
      </c>
      <c r="U21" s="544"/>
      <c r="V21" s="545"/>
      <c r="W21" s="500" t="s">
        <v>75</v>
      </c>
      <c r="X21" s="546"/>
      <c r="Y21" s="542"/>
      <c r="Z21" s="500" t="s">
        <v>65</v>
      </c>
      <c r="AA21" s="543"/>
      <c r="AB21" s="117"/>
      <c r="AC21" s="117"/>
      <c r="AD21" s="117"/>
      <c r="AE21" s="117"/>
      <c r="AF21" s="117"/>
      <c r="AG21" s="117"/>
    </row>
    <row r="22" spans="2:33" ht="18" customHeight="1" thickBot="1">
      <c r="B22" s="380"/>
      <c r="C22" s="499"/>
      <c r="D22" s="499"/>
      <c r="E22" s="499"/>
      <c r="F22" s="58"/>
      <c r="G22" s="367" t="s">
        <v>4</v>
      </c>
      <c r="H22" s="368" t="s">
        <v>5</v>
      </c>
      <c r="I22" s="369">
        <v>18</v>
      </c>
      <c r="J22" s="368" t="s">
        <v>4</v>
      </c>
      <c r="K22" s="368" t="s">
        <v>5</v>
      </c>
      <c r="L22" s="369">
        <v>18</v>
      </c>
      <c r="M22" s="370" t="s">
        <v>4</v>
      </c>
      <c r="N22" s="368" t="s">
        <v>5</v>
      </c>
      <c r="O22" s="371">
        <v>18</v>
      </c>
      <c r="P22" s="367" t="s">
        <v>4</v>
      </c>
      <c r="Q22" s="368" t="s">
        <v>5</v>
      </c>
      <c r="R22" s="369">
        <v>18</v>
      </c>
      <c r="S22" s="370" t="s">
        <v>4</v>
      </c>
      <c r="T22" s="368" t="s">
        <v>5</v>
      </c>
      <c r="U22" s="369">
        <v>18</v>
      </c>
      <c r="V22" s="368" t="s">
        <v>4</v>
      </c>
      <c r="W22" s="368" t="s">
        <v>5</v>
      </c>
      <c r="X22" s="371">
        <v>18</v>
      </c>
      <c r="Y22" s="367" t="s">
        <v>4</v>
      </c>
      <c r="Z22" s="368" t="s">
        <v>5</v>
      </c>
      <c r="AA22" s="368">
        <v>18</v>
      </c>
      <c r="AB22" s="118"/>
      <c r="AC22" s="118"/>
      <c r="AD22" s="118"/>
      <c r="AE22" s="118"/>
      <c r="AF22" s="118"/>
      <c r="AG22" s="118"/>
    </row>
    <row r="23" spans="2:33" ht="18" customHeight="1">
      <c r="B23" s="645" t="s">
        <v>245</v>
      </c>
      <c r="C23" s="356"/>
      <c r="D23" s="356"/>
      <c r="E23" s="356"/>
      <c r="F23" s="119"/>
      <c r="G23" s="357"/>
      <c r="H23" s="358"/>
      <c r="I23" s="359"/>
      <c r="J23" s="364"/>
      <c r="K23" s="358"/>
      <c r="L23" s="359"/>
      <c r="M23" s="364"/>
      <c r="N23" s="358"/>
      <c r="O23" s="363"/>
      <c r="P23" s="357"/>
      <c r="Q23" s="358"/>
      <c r="R23" s="359"/>
      <c r="S23" s="364"/>
      <c r="T23" s="358"/>
      <c r="U23" s="359"/>
      <c r="V23" s="364"/>
      <c r="W23" s="358"/>
      <c r="X23" s="363"/>
      <c r="Y23" s="357"/>
      <c r="Z23" s="358"/>
      <c r="AA23" s="358"/>
      <c r="AB23" s="334"/>
      <c r="AC23" s="334"/>
      <c r="AD23" s="334"/>
      <c r="AE23" s="334"/>
      <c r="AF23" s="334"/>
      <c r="AG23" s="334"/>
    </row>
    <row r="24" spans="2:33" ht="18" customHeight="1" thickBot="1">
      <c r="B24" s="378" t="s">
        <v>246</v>
      </c>
      <c r="C24" s="356"/>
      <c r="D24" s="356"/>
      <c r="E24" s="356"/>
      <c r="F24" s="119"/>
      <c r="G24" s="360"/>
      <c r="H24" s="361"/>
      <c r="I24" s="362"/>
      <c r="J24" s="366"/>
      <c r="K24" s="361"/>
      <c r="L24" s="362"/>
      <c r="M24" s="366"/>
      <c r="N24" s="361"/>
      <c r="O24" s="365"/>
      <c r="P24" s="360"/>
      <c r="Q24" s="361"/>
      <c r="R24" s="362"/>
      <c r="S24" s="366"/>
      <c r="T24" s="361"/>
      <c r="U24" s="362"/>
      <c r="V24" s="366"/>
      <c r="W24" s="361"/>
      <c r="X24" s="365"/>
      <c r="Y24" s="360"/>
      <c r="Z24" s="361"/>
      <c r="AA24" s="361"/>
      <c r="AB24" s="334"/>
      <c r="AC24" s="334"/>
      <c r="AD24" s="334"/>
      <c r="AE24" s="334"/>
      <c r="AF24" s="334"/>
      <c r="AG24" s="334"/>
    </row>
    <row r="25" spans="2:33" ht="18" customHeight="1">
      <c r="B25" s="382" t="s">
        <v>247</v>
      </c>
      <c r="C25" s="383"/>
      <c r="D25" s="383"/>
      <c r="E25" s="384"/>
      <c r="F25" s="114"/>
      <c r="G25" s="120"/>
      <c r="H25" s="121"/>
      <c r="I25" s="122"/>
      <c r="J25" s="123"/>
      <c r="K25" s="121"/>
      <c r="L25" s="122"/>
      <c r="M25" s="123"/>
      <c r="N25" s="121"/>
      <c r="O25" s="124"/>
      <c r="P25" s="120"/>
      <c r="Q25" s="121"/>
      <c r="R25" s="122"/>
      <c r="S25" s="123"/>
      <c r="T25" s="121"/>
      <c r="U25" s="122"/>
      <c r="V25" s="123"/>
      <c r="W25" s="121"/>
      <c r="X25" s="124"/>
      <c r="Y25" s="120"/>
      <c r="Z25" s="121"/>
      <c r="AA25" s="121"/>
      <c r="AB25" s="334"/>
      <c r="AC25" s="334"/>
      <c r="AD25" s="334"/>
      <c r="AE25" s="334"/>
      <c r="AF25" s="334"/>
      <c r="AG25" s="334"/>
    </row>
    <row r="26" spans="2:33" ht="18" customHeight="1" thickBot="1">
      <c r="B26" s="385" t="s">
        <v>248</v>
      </c>
      <c r="C26" s="388"/>
      <c r="D26" s="388"/>
      <c r="E26" s="389"/>
      <c r="F26" s="80"/>
      <c r="G26" s="130"/>
      <c r="H26" s="131"/>
      <c r="I26" s="132"/>
      <c r="J26" s="131"/>
      <c r="K26" s="131"/>
      <c r="L26" s="132"/>
      <c r="M26" s="131"/>
      <c r="N26" s="131"/>
      <c r="O26" s="133"/>
      <c r="P26" s="131"/>
      <c r="Q26" s="131"/>
      <c r="R26" s="132"/>
      <c r="S26" s="131"/>
      <c r="T26" s="131"/>
      <c r="U26" s="132"/>
      <c r="V26" s="131"/>
      <c r="W26" s="131"/>
      <c r="X26" s="133"/>
      <c r="Y26" s="131"/>
      <c r="Z26" s="131"/>
      <c r="AA26" s="336"/>
      <c r="AB26" s="338"/>
      <c r="AC26" s="338"/>
      <c r="AD26" s="338"/>
      <c r="AE26" s="338"/>
      <c r="AF26" s="338"/>
      <c r="AG26" s="338"/>
    </row>
    <row r="27" spans="2:33" ht="18" customHeight="1">
      <c r="B27" s="129"/>
      <c r="C27" s="49"/>
      <c r="D27" s="49"/>
      <c r="E27" s="49"/>
      <c r="G27" s="58"/>
      <c r="H27" s="58"/>
      <c r="I27" s="58"/>
      <c r="J27" s="58"/>
      <c r="K27" s="58"/>
      <c r="L27" s="58"/>
      <c r="M27" s="58"/>
      <c r="N27" s="58"/>
      <c r="O27" s="58"/>
      <c r="P27" s="58"/>
      <c r="Q27" s="58"/>
      <c r="R27" s="58"/>
      <c r="S27" s="58"/>
      <c r="T27" s="58"/>
      <c r="U27" s="58"/>
      <c r="V27" s="58"/>
      <c r="W27" s="58"/>
      <c r="X27" s="58"/>
      <c r="Y27" s="58"/>
      <c r="Z27" s="58"/>
      <c r="AA27" s="58"/>
      <c r="AB27" s="83"/>
      <c r="AC27" s="83"/>
      <c r="AD27" s="83"/>
      <c r="AE27" s="83"/>
      <c r="AF27" s="83"/>
      <c r="AG27" s="83"/>
    </row>
    <row r="28" spans="2:33" ht="18" customHeight="1">
      <c r="B28" s="129"/>
      <c r="C28" s="49"/>
      <c r="D28" s="49"/>
      <c r="E28" s="49"/>
      <c r="G28" s="118"/>
      <c r="H28" s="118"/>
      <c r="I28" s="118"/>
      <c r="J28" s="118"/>
      <c r="K28" s="118"/>
      <c r="L28" s="118"/>
      <c r="M28" s="118"/>
      <c r="N28" s="118"/>
      <c r="O28" s="118"/>
      <c r="P28" s="118"/>
      <c r="Q28" s="118"/>
      <c r="R28" s="118"/>
      <c r="S28" s="118"/>
      <c r="T28" s="118"/>
      <c r="U28" s="118"/>
      <c r="V28" s="118"/>
      <c r="W28" s="118"/>
      <c r="X28" s="118"/>
      <c r="Y28" s="118"/>
      <c r="Z28" s="118"/>
      <c r="AA28" s="118"/>
      <c r="AB28" s="118"/>
      <c r="AC28" s="118"/>
      <c r="AD28" s="118"/>
      <c r="AE28" s="118"/>
      <c r="AF28" s="118"/>
      <c r="AG28" s="118"/>
    </row>
    <row r="29" spans="2:33" ht="18" customHeight="1">
      <c r="B29" s="381"/>
      <c r="C29" s="499" t="s">
        <v>42</v>
      </c>
      <c r="D29" s="499" t="s">
        <v>43</v>
      </c>
      <c r="E29" s="499" t="s">
        <v>39</v>
      </c>
      <c r="G29" s="542"/>
      <c r="H29" s="500" t="s">
        <v>73</v>
      </c>
      <c r="I29" s="544"/>
      <c r="J29" s="545"/>
      <c r="K29" s="500" t="s">
        <v>74</v>
      </c>
      <c r="L29" s="544"/>
      <c r="M29" s="545"/>
      <c r="N29" s="500" t="s">
        <v>75</v>
      </c>
      <c r="O29" s="546"/>
      <c r="P29" s="542"/>
      <c r="Q29" s="500" t="s">
        <v>73</v>
      </c>
      <c r="R29" s="544"/>
      <c r="S29" s="545"/>
      <c r="T29" s="543" t="s">
        <v>74</v>
      </c>
      <c r="U29" s="544"/>
      <c r="V29" s="545"/>
      <c r="W29" s="500" t="s">
        <v>75</v>
      </c>
      <c r="X29" s="546"/>
      <c r="Y29" s="542"/>
      <c r="Z29" s="500" t="s">
        <v>65</v>
      </c>
      <c r="AA29" s="543"/>
      <c r="AB29" s="117"/>
      <c r="AC29" s="117"/>
      <c r="AD29" s="117"/>
      <c r="AE29" s="117"/>
      <c r="AF29" s="117"/>
      <c r="AG29" s="117"/>
    </row>
    <row r="30" spans="2:33" ht="18" customHeight="1" thickBot="1">
      <c r="B30" s="380"/>
      <c r="C30" s="499"/>
      <c r="D30" s="499"/>
      <c r="E30" s="499"/>
      <c r="F30" s="58"/>
      <c r="G30" s="367" t="s">
        <v>4</v>
      </c>
      <c r="H30" s="368" t="s">
        <v>5</v>
      </c>
      <c r="I30" s="369">
        <v>18</v>
      </c>
      <c r="J30" s="368" t="s">
        <v>4</v>
      </c>
      <c r="K30" s="368" t="s">
        <v>5</v>
      </c>
      <c r="L30" s="369">
        <v>18</v>
      </c>
      <c r="M30" s="370" t="s">
        <v>4</v>
      </c>
      <c r="N30" s="368" t="s">
        <v>5</v>
      </c>
      <c r="O30" s="371">
        <v>18</v>
      </c>
      <c r="P30" s="367" t="s">
        <v>4</v>
      </c>
      <c r="Q30" s="368" t="s">
        <v>5</v>
      </c>
      <c r="R30" s="369">
        <v>18</v>
      </c>
      <c r="S30" s="370" t="s">
        <v>4</v>
      </c>
      <c r="T30" s="368" t="s">
        <v>5</v>
      </c>
      <c r="U30" s="369">
        <v>18</v>
      </c>
      <c r="V30" s="368" t="s">
        <v>4</v>
      </c>
      <c r="W30" s="368" t="s">
        <v>5</v>
      </c>
      <c r="X30" s="371">
        <v>18</v>
      </c>
      <c r="Y30" s="367" t="s">
        <v>4</v>
      </c>
      <c r="Z30" s="368" t="s">
        <v>5</v>
      </c>
      <c r="AA30" s="368">
        <v>18</v>
      </c>
      <c r="AB30" s="118"/>
      <c r="AC30" s="118"/>
      <c r="AD30" s="118"/>
      <c r="AE30" s="118"/>
      <c r="AF30" s="118"/>
      <c r="AG30" s="118"/>
    </row>
    <row r="31" spans="2:33" ht="18" customHeight="1">
      <c r="B31" s="645" t="s">
        <v>245</v>
      </c>
      <c r="C31" s="356"/>
      <c r="D31" s="356"/>
      <c r="E31" s="356"/>
      <c r="F31" s="119"/>
      <c r="G31" s="357"/>
      <c r="H31" s="358"/>
      <c r="I31" s="359"/>
      <c r="J31" s="364"/>
      <c r="K31" s="358"/>
      <c r="L31" s="359"/>
      <c r="M31" s="364"/>
      <c r="N31" s="358"/>
      <c r="O31" s="363"/>
      <c r="P31" s="357"/>
      <c r="Q31" s="358"/>
      <c r="R31" s="359"/>
      <c r="S31" s="364"/>
      <c r="T31" s="358"/>
      <c r="U31" s="359"/>
      <c r="V31" s="364"/>
      <c r="W31" s="358"/>
      <c r="X31" s="363"/>
      <c r="Y31" s="357"/>
      <c r="Z31" s="358"/>
      <c r="AA31" s="358"/>
      <c r="AB31" s="334"/>
      <c r="AC31" s="334"/>
      <c r="AD31" s="334"/>
      <c r="AE31" s="334"/>
      <c r="AF31" s="334"/>
      <c r="AG31" s="334"/>
    </row>
    <row r="32" spans="2:33" ht="18" customHeight="1" thickBot="1">
      <c r="B32" s="378" t="s">
        <v>246</v>
      </c>
      <c r="C32" s="356"/>
      <c r="D32" s="356"/>
      <c r="E32" s="356"/>
      <c r="F32" s="119"/>
      <c r="G32" s="360"/>
      <c r="H32" s="361"/>
      <c r="I32" s="362"/>
      <c r="J32" s="366"/>
      <c r="K32" s="361"/>
      <c r="L32" s="362"/>
      <c r="M32" s="366"/>
      <c r="N32" s="361"/>
      <c r="O32" s="365"/>
      <c r="P32" s="360"/>
      <c r="Q32" s="361"/>
      <c r="R32" s="362"/>
      <c r="S32" s="366"/>
      <c r="T32" s="361"/>
      <c r="U32" s="362"/>
      <c r="V32" s="366"/>
      <c r="W32" s="361"/>
      <c r="X32" s="365"/>
      <c r="Y32" s="360"/>
      <c r="Z32" s="361"/>
      <c r="AA32" s="361"/>
      <c r="AB32" s="334"/>
      <c r="AC32" s="334"/>
      <c r="AD32" s="334"/>
      <c r="AE32" s="334"/>
      <c r="AF32" s="334"/>
      <c r="AG32" s="334"/>
    </row>
    <row r="33" spans="2:33" ht="18" customHeight="1">
      <c r="B33" s="382" t="s">
        <v>247</v>
      </c>
      <c r="C33" s="383"/>
      <c r="D33" s="383"/>
      <c r="E33" s="384"/>
      <c r="F33" s="114"/>
      <c r="G33" s="120"/>
      <c r="H33" s="121"/>
      <c r="I33" s="122"/>
      <c r="J33" s="123"/>
      <c r="K33" s="121"/>
      <c r="L33" s="122"/>
      <c r="M33" s="123"/>
      <c r="N33" s="121"/>
      <c r="O33" s="124"/>
      <c r="P33" s="120"/>
      <c r="Q33" s="121"/>
      <c r="R33" s="122"/>
      <c r="S33" s="123"/>
      <c r="T33" s="121"/>
      <c r="U33" s="122"/>
      <c r="V33" s="123"/>
      <c r="W33" s="121"/>
      <c r="X33" s="124"/>
      <c r="Y33" s="120"/>
      <c r="Z33" s="121"/>
      <c r="AA33" s="121"/>
      <c r="AB33" s="334"/>
      <c r="AC33" s="334"/>
      <c r="AD33" s="334"/>
      <c r="AE33" s="334"/>
      <c r="AF33" s="334"/>
      <c r="AG33" s="334"/>
    </row>
    <row r="34" spans="2:33" ht="18" customHeight="1" thickBot="1">
      <c r="B34" s="385" t="s">
        <v>248</v>
      </c>
      <c r="C34" s="386"/>
      <c r="D34" s="386"/>
      <c r="E34" s="387"/>
      <c r="G34" s="130"/>
      <c r="H34" s="131"/>
      <c r="I34" s="132"/>
      <c r="J34" s="131"/>
      <c r="K34" s="131"/>
      <c r="L34" s="132"/>
      <c r="M34" s="131"/>
      <c r="N34" s="131"/>
      <c r="O34" s="133"/>
      <c r="P34" s="131"/>
      <c r="Q34" s="131"/>
      <c r="R34" s="132"/>
      <c r="S34" s="131"/>
      <c r="T34" s="131"/>
      <c r="U34" s="132"/>
      <c r="V34" s="131"/>
      <c r="W34" s="131"/>
      <c r="X34" s="133"/>
      <c r="Y34" s="131"/>
      <c r="Z34" s="131"/>
      <c r="AA34" s="336"/>
      <c r="AB34" s="338"/>
      <c r="AC34" s="338"/>
      <c r="AD34" s="338"/>
      <c r="AE34" s="338"/>
      <c r="AF34" s="338"/>
      <c r="AG34" s="338"/>
    </row>
    <row r="35" spans="2:33" ht="18" customHeight="1">
      <c r="B35" s="129"/>
      <c r="C35" s="49"/>
      <c r="D35" s="49"/>
      <c r="E35" s="49"/>
      <c r="G35" s="58"/>
      <c r="H35" s="58"/>
      <c r="I35" s="58"/>
      <c r="J35" s="58"/>
      <c r="K35" s="58"/>
      <c r="L35" s="58"/>
      <c r="M35" s="58"/>
      <c r="N35" s="58"/>
      <c r="O35" s="58"/>
      <c r="P35" s="58"/>
      <c r="Q35" s="58"/>
      <c r="R35" s="58"/>
      <c r="S35" s="58"/>
      <c r="T35" s="58"/>
      <c r="U35" s="58"/>
      <c r="V35" s="58"/>
      <c r="W35" s="58"/>
      <c r="X35" s="58"/>
      <c r="Y35" s="58"/>
      <c r="Z35" s="58"/>
      <c r="AA35" s="58"/>
      <c r="AB35" s="83"/>
      <c r="AC35" s="83"/>
      <c r="AD35" s="83"/>
      <c r="AE35" s="83"/>
      <c r="AF35" s="83"/>
      <c r="AG35" s="83"/>
    </row>
    <row r="36" spans="2:33" ht="18" customHeight="1">
      <c r="B36" s="129"/>
      <c r="C36" s="49"/>
      <c r="D36" s="49"/>
      <c r="E36" s="49"/>
      <c r="G36" s="118"/>
      <c r="H36" s="118"/>
      <c r="I36" s="118"/>
      <c r="J36" s="118"/>
      <c r="K36" s="118"/>
      <c r="L36" s="118"/>
      <c r="M36" s="118"/>
      <c r="N36" s="118"/>
      <c r="O36" s="118"/>
      <c r="P36" s="118"/>
      <c r="Q36" s="118"/>
      <c r="R36" s="118"/>
      <c r="S36" s="118"/>
      <c r="T36" s="118"/>
      <c r="U36" s="118"/>
      <c r="V36" s="118"/>
      <c r="W36" s="118"/>
      <c r="X36" s="118"/>
      <c r="Y36" s="118"/>
      <c r="Z36" s="118"/>
      <c r="AA36" s="118"/>
      <c r="AB36" s="118"/>
      <c r="AC36" s="118"/>
      <c r="AD36" s="118"/>
      <c r="AE36" s="118"/>
      <c r="AF36" s="118"/>
      <c r="AG36" s="118"/>
    </row>
    <row r="37" spans="2:33" ht="18" customHeight="1">
      <c r="B37" s="381"/>
      <c r="C37" s="499" t="s">
        <v>42</v>
      </c>
      <c r="D37" s="499" t="s">
        <v>43</v>
      </c>
      <c r="E37" s="499" t="s">
        <v>39</v>
      </c>
      <c r="G37" s="542"/>
      <c r="H37" s="500" t="s">
        <v>73</v>
      </c>
      <c r="I37" s="544"/>
      <c r="J37" s="545"/>
      <c r="K37" s="500" t="s">
        <v>74</v>
      </c>
      <c r="L37" s="544"/>
      <c r="M37" s="545"/>
      <c r="N37" s="500" t="s">
        <v>75</v>
      </c>
      <c r="O37" s="546"/>
      <c r="P37" s="542"/>
      <c r="Q37" s="543" t="s">
        <v>73</v>
      </c>
      <c r="R37" s="544"/>
      <c r="S37" s="545"/>
      <c r="T37" s="500" t="s">
        <v>74</v>
      </c>
      <c r="U37" s="544"/>
      <c r="V37" s="545"/>
      <c r="W37" s="500" t="s">
        <v>75</v>
      </c>
      <c r="X37" s="546"/>
      <c r="Y37" s="542"/>
      <c r="Z37" s="500" t="s">
        <v>65</v>
      </c>
      <c r="AA37" s="543"/>
      <c r="AB37" s="117"/>
      <c r="AC37" s="117"/>
      <c r="AD37" s="117"/>
      <c r="AE37" s="117"/>
      <c r="AF37" s="117"/>
      <c r="AG37" s="117"/>
    </row>
    <row r="38" spans="2:33" ht="18" customHeight="1" thickBot="1">
      <c r="B38" s="380"/>
      <c r="C38" s="499"/>
      <c r="D38" s="499"/>
      <c r="E38" s="499"/>
      <c r="F38" s="58"/>
      <c r="G38" s="367" t="s">
        <v>4</v>
      </c>
      <c r="H38" s="368" t="s">
        <v>5</v>
      </c>
      <c r="I38" s="369">
        <v>18</v>
      </c>
      <c r="J38" s="368" t="s">
        <v>4</v>
      </c>
      <c r="K38" s="368" t="s">
        <v>5</v>
      </c>
      <c r="L38" s="369">
        <v>18</v>
      </c>
      <c r="M38" s="370" t="s">
        <v>4</v>
      </c>
      <c r="N38" s="368" t="s">
        <v>5</v>
      </c>
      <c r="O38" s="371">
        <v>18</v>
      </c>
      <c r="P38" s="367" t="s">
        <v>4</v>
      </c>
      <c r="Q38" s="368" t="s">
        <v>5</v>
      </c>
      <c r="R38" s="369">
        <v>18</v>
      </c>
      <c r="S38" s="370" t="s">
        <v>4</v>
      </c>
      <c r="T38" s="368" t="s">
        <v>5</v>
      </c>
      <c r="U38" s="369">
        <v>18</v>
      </c>
      <c r="V38" s="368" t="s">
        <v>4</v>
      </c>
      <c r="W38" s="368" t="s">
        <v>5</v>
      </c>
      <c r="X38" s="371">
        <v>18</v>
      </c>
      <c r="Y38" s="367" t="s">
        <v>4</v>
      </c>
      <c r="Z38" s="368" t="s">
        <v>5</v>
      </c>
      <c r="AA38" s="368">
        <v>18</v>
      </c>
      <c r="AB38" s="118"/>
      <c r="AC38" s="118"/>
      <c r="AD38" s="118"/>
      <c r="AE38" s="118"/>
      <c r="AF38" s="118"/>
      <c r="AG38" s="118"/>
    </row>
    <row r="39" spans="2:33" ht="18" customHeight="1">
      <c r="B39" s="645" t="s">
        <v>245</v>
      </c>
      <c r="C39" s="356"/>
      <c r="D39" s="356"/>
      <c r="E39" s="356"/>
      <c r="F39" s="119"/>
      <c r="G39" s="357"/>
      <c r="H39" s="358"/>
      <c r="I39" s="359"/>
      <c r="J39" s="364"/>
      <c r="K39" s="358"/>
      <c r="L39" s="359"/>
      <c r="M39" s="364"/>
      <c r="N39" s="358"/>
      <c r="O39" s="363"/>
      <c r="P39" s="357"/>
      <c r="Q39" s="358"/>
      <c r="R39" s="359"/>
      <c r="S39" s="364"/>
      <c r="T39" s="358"/>
      <c r="U39" s="359"/>
      <c r="V39" s="364"/>
      <c r="W39" s="358"/>
      <c r="X39" s="363"/>
      <c r="Y39" s="357"/>
      <c r="Z39" s="358"/>
      <c r="AA39" s="358"/>
      <c r="AB39" s="334"/>
      <c r="AC39" s="334"/>
      <c r="AD39" s="334"/>
      <c r="AE39" s="334"/>
      <c r="AF39" s="334"/>
      <c r="AG39" s="334"/>
    </row>
    <row r="40" spans="2:33" ht="18" customHeight="1" thickBot="1">
      <c r="B40" s="378" t="s">
        <v>246</v>
      </c>
      <c r="C40" s="356"/>
      <c r="D40" s="356"/>
      <c r="E40" s="356"/>
      <c r="F40" s="119"/>
      <c r="G40" s="360"/>
      <c r="H40" s="361"/>
      <c r="I40" s="362"/>
      <c r="J40" s="366"/>
      <c r="K40" s="361"/>
      <c r="L40" s="362"/>
      <c r="M40" s="366"/>
      <c r="N40" s="361"/>
      <c r="O40" s="365"/>
      <c r="P40" s="360"/>
      <c r="Q40" s="361"/>
      <c r="R40" s="362"/>
      <c r="S40" s="366"/>
      <c r="T40" s="361"/>
      <c r="U40" s="362"/>
      <c r="V40" s="366"/>
      <c r="W40" s="361"/>
      <c r="X40" s="365"/>
      <c r="Y40" s="360"/>
      <c r="Z40" s="361"/>
      <c r="AA40" s="361"/>
      <c r="AB40" s="334"/>
      <c r="AC40" s="334"/>
      <c r="AD40" s="334"/>
      <c r="AE40" s="334"/>
      <c r="AF40" s="334"/>
      <c r="AG40" s="334"/>
    </row>
    <row r="41" spans="2:33" ht="18" customHeight="1">
      <c r="B41" s="382" t="s">
        <v>247</v>
      </c>
      <c r="C41" s="383"/>
      <c r="D41" s="383"/>
      <c r="E41" s="384"/>
      <c r="F41" s="114"/>
      <c r="G41" s="120"/>
      <c r="H41" s="121"/>
      <c r="I41" s="122"/>
      <c r="J41" s="123"/>
      <c r="K41" s="121"/>
      <c r="L41" s="122"/>
      <c r="M41" s="123"/>
      <c r="N41" s="121"/>
      <c r="O41" s="124"/>
      <c r="P41" s="120"/>
      <c r="Q41" s="121"/>
      <c r="R41" s="122"/>
      <c r="S41" s="123"/>
      <c r="T41" s="121"/>
      <c r="U41" s="122"/>
      <c r="V41" s="123"/>
      <c r="W41" s="121"/>
      <c r="X41" s="124"/>
      <c r="Y41" s="120"/>
      <c r="Z41" s="121"/>
      <c r="AA41" s="121"/>
      <c r="AB41" s="334"/>
      <c r="AC41" s="334"/>
      <c r="AD41" s="334"/>
      <c r="AE41" s="334"/>
      <c r="AF41" s="334"/>
      <c r="AG41" s="334"/>
    </row>
    <row r="42" spans="2:33" ht="18" customHeight="1" thickBot="1">
      <c r="B42" s="385" t="s">
        <v>248</v>
      </c>
      <c r="C42" s="386"/>
      <c r="D42" s="386"/>
      <c r="E42" s="387"/>
      <c r="G42" s="134"/>
      <c r="H42" s="135"/>
      <c r="I42" s="136"/>
      <c r="J42" s="135"/>
      <c r="K42" s="135"/>
      <c r="L42" s="136"/>
      <c r="M42" s="135"/>
      <c r="N42" s="135"/>
      <c r="O42" s="137"/>
      <c r="P42" s="135"/>
      <c r="Q42" s="135"/>
      <c r="R42" s="136"/>
      <c r="S42" s="135"/>
      <c r="T42" s="135"/>
      <c r="U42" s="136"/>
      <c r="V42" s="135"/>
      <c r="W42" s="135"/>
      <c r="X42" s="137"/>
      <c r="Y42" s="135"/>
      <c r="Z42" s="135"/>
      <c r="AA42" s="337"/>
      <c r="AB42" s="339"/>
      <c r="AC42" s="339"/>
      <c r="AD42" s="339"/>
      <c r="AE42" s="339"/>
      <c r="AF42" s="339"/>
      <c r="AG42" s="339"/>
    </row>
  </sheetData>
  <pageMargins left="0.7" right="0.7" top="0.75" bottom="0.75" header="0.3" footer="0.3"/>
  <pageSetup orientation="portrait" horizontalDpi="1200" verticalDpi="1200" r:id="rId1"/>
  <drawing r:id="rId2"/>
  <legacyDrawing r:id="rId3"/>
  <controls>
    <mc:AlternateContent xmlns:mc="http://schemas.openxmlformats.org/markup-compatibility/2006">
      <mc:Choice Requires="x14">
        <control shapeId="15370" r:id="rId4" name="CommandButton10">
          <controlPr defaultSize="0" autoLine="0" altText="Button, click to Reset Comparison Model 4" r:id="rId5">
            <anchor moveWithCells="1">
              <from>
                <xdr:col>0</xdr:col>
                <xdr:colOff>556260</xdr:colOff>
                <xdr:row>40</xdr:row>
                <xdr:rowOff>0</xdr:rowOff>
              </from>
              <to>
                <xdr:col>0</xdr:col>
                <xdr:colOff>2971800</xdr:colOff>
                <xdr:row>42</xdr:row>
                <xdr:rowOff>22860</xdr:rowOff>
              </to>
            </anchor>
          </controlPr>
        </control>
      </mc:Choice>
      <mc:Fallback>
        <control shapeId="15370" r:id="rId4" name="CommandButton10"/>
      </mc:Fallback>
    </mc:AlternateContent>
    <mc:AlternateContent xmlns:mc="http://schemas.openxmlformats.org/markup-compatibility/2006">
      <mc:Choice Requires="x14">
        <control shapeId="15369" r:id="rId6" name="CommandButton9">
          <controlPr defaultSize="0" autoLine="0" altText="Button, click to Reset Comparison Model 3" r:id="rId7">
            <anchor moveWithCells="1">
              <from>
                <xdr:col>0</xdr:col>
                <xdr:colOff>556260</xdr:colOff>
                <xdr:row>31</xdr:row>
                <xdr:rowOff>213360</xdr:rowOff>
              </from>
              <to>
                <xdr:col>0</xdr:col>
                <xdr:colOff>2971800</xdr:colOff>
                <xdr:row>34</xdr:row>
                <xdr:rowOff>22860</xdr:rowOff>
              </to>
            </anchor>
          </controlPr>
        </control>
      </mc:Choice>
      <mc:Fallback>
        <control shapeId="15369" r:id="rId6" name="CommandButton9"/>
      </mc:Fallback>
    </mc:AlternateContent>
    <mc:AlternateContent xmlns:mc="http://schemas.openxmlformats.org/markup-compatibility/2006">
      <mc:Choice Requires="x14">
        <control shapeId="15368" r:id="rId8" name="CommandButton8">
          <controlPr defaultSize="0" autoLine="0" altText="Button, click to Reset Comparison Model 2" r:id="rId9">
            <anchor moveWithCells="1">
              <from>
                <xdr:col>0</xdr:col>
                <xdr:colOff>556260</xdr:colOff>
                <xdr:row>23</xdr:row>
                <xdr:rowOff>220980</xdr:rowOff>
              </from>
              <to>
                <xdr:col>0</xdr:col>
                <xdr:colOff>2971800</xdr:colOff>
                <xdr:row>26</xdr:row>
                <xdr:rowOff>22860</xdr:rowOff>
              </to>
            </anchor>
          </controlPr>
        </control>
      </mc:Choice>
      <mc:Fallback>
        <control shapeId="15368" r:id="rId8" name="CommandButton8"/>
      </mc:Fallback>
    </mc:AlternateContent>
    <mc:AlternateContent xmlns:mc="http://schemas.openxmlformats.org/markup-compatibility/2006">
      <mc:Choice Requires="x14">
        <control shapeId="15367" r:id="rId10" name="CommandButton7">
          <controlPr defaultSize="0" autoLine="0" autoPict="0" altText="Button, click to Reset Comparison Model 1" r:id="rId11">
            <anchor moveWithCells="1">
              <from>
                <xdr:col>0</xdr:col>
                <xdr:colOff>556260</xdr:colOff>
                <xdr:row>16</xdr:row>
                <xdr:rowOff>7620</xdr:rowOff>
              </from>
              <to>
                <xdr:col>0</xdr:col>
                <xdr:colOff>2979420</xdr:colOff>
                <xdr:row>18</xdr:row>
                <xdr:rowOff>7620</xdr:rowOff>
              </to>
            </anchor>
          </controlPr>
        </control>
      </mc:Choice>
      <mc:Fallback>
        <control shapeId="15367" r:id="rId10" name="CommandButton7"/>
      </mc:Fallback>
    </mc:AlternateContent>
    <mc:AlternateContent xmlns:mc="http://schemas.openxmlformats.org/markup-compatibility/2006">
      <mc:Choice Requires="x14">
        <control shapeId="15366" r:id="rId12" name="CommandButton6">
          <controlPr defaultSize="0" autoLine="0" altText="Button, click to Reset Model" r:id="rId13">
            <anchor moveWithCells="1">
              <from>
                <xdr:col>0</xdr:col>
                <xdr:colOff>563880</xdr:colOff>
                <xdr:row>7</xdr:row>
                <xdr:rowOff>182880</xdr:rowOff>
              </from>
              <to>
                <xdr:col>0</xdr:col>
                <xdr:colOff>2979420</xdr:colOff>
                <xdr:row>9</xdr:row>
                <xdr:rowOff>15240</xdr:rowOff>
              </to>
            </anchor>
          </controlPr>
        </control>
      </mc:Choice>
      <mc:Fallback>
        <control shapeId="15366" r:id="rId12" name="CommandButton6"/>
      </mc:Fallback>
    </mc:AlternateContent>
    <mc:AlternateContent xmlns:mc="http://schemas.openxmlformats.org/markup-compatibility/2006">
      <mc:Choice Requires="x14">
        <control shapeId="15365" r:id="rId14" name="CommandButton5">
          <controlPr defaultSize="0" autoLine="0" altText="Button, click to Calculate Comparison Model 4" r:id="rId15">
            <anchor moveWithCells="1">
              <from>
                <xdr:col>0</xdr:col>
                <xdr:colOff>556260</xdr:colOff>
                <xdr:row>36</xdr:row>
                <xdr:rowOff>0</xdr:rowOff>
              </from>
              <to>
                <xdr:col>0</xdr:col>
                <xdr:colOff>2971800</xdr:colOff>
                <xdr:row>39</xdr:row>
                <xdr:rowOff>190500</xdr:rowOff>
              </to>
            </anchor>
          </controlPr>
        </control>
      </mc:Choice>
      <mc:Fallback>
        <control shapeId="15365" r:id="rId14" name="CommandButton5"/>
      </mc:Fallback>
    </mc:AlternateContent>
    <mc:AlternateContent xmlns:mc="http://schemas.openxmlformats.org/markup-compatibility/2006">
      <mc:Choice Requires="x14">
        <control shapeId="15364" r:id="rId16" name="CommandButton4">
          <controlPr defaultSize="0" autoLine="0" autoPict="0" altText="Button, click to Calculate Comparison Model 3" r:id="rId17">
            <anchor moveWithCells="1">
              <from>
                <xdr:col>0</xdr:col>
                <xdr:colOff>556260</xdr:colOff>
                <xdr:row>28</xdr:row>
                <xdr:rowOff>0</xdr:rowOff>
              </from>
              <to>
                <xdr:col>0</xdr:col>
                <xdr:colOff>2979420</xdr:colOff>
                <xdr:row>31</xdr:row>
                <xdr:rowOff>175260</xdr:rowOff>
              </to>
            </anchor>
          </controlPr>
        </control>
      </mc:Choice>
      <mc:Fallback>
        <control shapeId="15364" r:id="rId16" name="CommandButton4"/>
      </mc:Fallback>
    </mc:AlternateContent>
    <mc:AlternateContent xmlns:mc="http://schemas.openxmlformats.org/markup-compatibility/2006">
      <mc:Choice Requires="x14">
        <control shapeId="15363" r:id="rId18" name="CommandButton3">
          <controlPr defaultSize="0" autoLine="0" altText="Button, click to Calculate Comparison Model 2" r:id="rId19">
            <anchor moveWithCells="1">
              <from>
                <xdr:col>0</xdr:col>
                <xdr:colOff>541020</xdr:colOff>
                <xdr:row>20</xdr:row>
                <xdr:rowOff>0</xdr:rowOff>
              </from>
              <to>
                <xdr:col>0</xdr:col>
                <xdr:colOff>2979420</xdr:colOff>
                <xdr:row>23</xdr:row>
                <xdr:rowOff>160020</xdr:rowOff>
              </to>
            </anchor>
          </controlPr>
        </control>
      </mc:Choice>
      <mc:Fallback>
        <control shapeId="15363" r:id="rId18" name="CommandButton3"/>
      </mc:Fallback>
    </mc:AlternateContent>
    <mc:AlternateContent xmlns:mc="http://schemas.openxmlformats.org/markup-compatibility/2006">
      <mc:Choice Requires="x14">
        <control shapeId="15362" r:id="rId20" name="CommandButton2">
          <controlPr defaultSize="0" autoLine="0" altText="Button, click to Calculate Comparison Model 1" r:id="rId21">
            <anchor moveWithCells="1">
              <from>
                <xdr:col>0</xdr:col>
                <xdr:colOff>541020</xdr:colOff>
                <xdr:row>12</xdr:row>
                <xdr:rowOff>7620</xdr:rowOff>
              </from>
              <to>
                <xdr:col>0</xdr:col>
                <xdr:colOff>2971800</xdr:colOff>
                <xdr:row>15</xdr:row>
                <xdr:rowOff>190500</xdr:rowOff>
              </to>
            </anchor>
          </controlPr>
        </control>
      </mc:Choice>
      <mc:Fallback>
        <control shapeId="15362" r:id="rId20" name="CommandButton2"/>
      </mc:Fallback>
    </mc:AlternateContent>
    <mc:AlternateContent xmlns:mc="http://schemas.openxmlformats.org/markup-compatibility/2006">
      <mc:Choice Requires="x14">
        <control shapeId="15361" r:id="rId22" name="CommandButton1">
          <controlPr defaultSize="0" autoLine="0" altText="Button, click to Calculate Baseline Model " r:id="rId23">
            <anchor moveWithCells="1">
              <from>
                <xdr:col>0</xdr:col>
                <xdr:colOff>563880</xdr:colOff>
                <xdr:row>6</xdr:row>
                <xdr:rowOff>0</xdr:rowOff>
              </from>
              <to>
                <xdr:col>0</xdr:col>
                <xdr:colOff>2979420</xdr:colOff>
                <xdr:row>7</xdr:row>
                <xdr:rowOff>152400</xdr:rowOff>
              </to>
            </anchor>
          </controlPr>
        </control>
      </mc:Choice>
      <mc:Fallback>
        <control shapeId="15361" r:id="rId22" name="CommandButton1"/>
      </mc:Fallback>
    </mc:AlternateContent>
    <mc:AlternateContent xmlns:mc="http://schemas.openxmlformats.org/markup-compatibility/2006">
      <mc:Choice Requires="x14">
        <control shapeId="15371" r:id="rId24" name="CommandButton11">
          <controlPr defaultSize="0" autoLine="0" altText="button, click to go back to the table of contents_x000a_" r:id="rId25">
            <anchor moveWithCells="1">
              <from>
                <xdr:col>11</xdr:col>
                <xdr:colOff>83820</xdr:colOff>
                <xdr:row>1</xdr:row>
                <xdr:rowOff>0</xdr:rowOff>
              </from>
              <to>
                <xdr:col>14</xdr:col>
                <xdr:colOff>60960</xdr:colOff>
                <xdr:row>2</xdr:row>
                <xdr:rowOff>106680</xdr:rowOff>
              </to>
            </anchor>
          </controlPr>
        </control>
      </mc:Choice>
      <mc:Fallback>
        <control shapeId="15371" r:id="rId24" name="CommandButton11"/>
      </mc:Fallback>
    </mc:AlternateContent>
    <mc:AlternateContent xmlns:mc="http://schemas.openxmlformats.org/markup-compatibility/2006">
      <mc:Choice Requires="x14">
        <control shapeId="15372" r:id="rId26" name="CommandButton12">
          <controlPr defaultSize="0" autoLine="0" altText="button, click to go back to interventions page" r:id="rId27">
            <anchor moveWithCells="1">
              <from>
                <xdr:col>7</xdr:col>
                <xdr:colOff>632460</xdr:colOff>
                <xdr:row>1</xdr:row>
                <xdr:rowOff>0</xdr:rowOff>
              </from>
              <to>
                <xdr:col>10</xdr:col>
                <xdr:colOff>609600</xdr:colOff>
                <xdr:row>2</xdr:row>
                <xdr:rowOff>106680</xdr:rowOff>
              </to>
            </anchor>
          </controlPr>
        </control>
      </mc:Choice>
      <mc:Fallback>
        <control shapeId="15372" r:id="rId26" name="CommandButton12"/>
      </mc:Fallback>
    </mc:AlternateContent>
    <mc:AlternateContent xmlns:mc="http://schemas.openxmlformats.org/markup-compatibility/2006">
      <mc:Choice Requires="x14">
        <control shapeId="15373" r:id="rId28" name="CommandButton13">
          <controlPr defaultSize="0" autoLine="0" altText="Button, click to go to export results page" r:id="rId29">
            <anchor moveWithCells="1">
              <from>
                <xdr:col>4</xdr:col>
                <xdr:colOff>838200</xdr:colOff>
                <xdr:row>1</xdr:row>
                <xdr:rowOff>0</xdr:rowOff>
              </from>
              <to>
                <xdr:col>7</xdr:col>
                <xdr:colOff>487680</xdr:colOff>
                <xdr:row>2</xdr:row>
                <xdr:rowOff>106680</xdr:rowOff>
              </to>
            </anchor>
          </controlPr>
        </control>
      </mc:Choice>
      <mc:Fallback>
        <control shapeId="15373" r:id="rId28" name="CommandButton13"/>
      </mc:Fallback>
    </mc:AlternateContent>
  </control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tabColor theme="9" tint="0.39997558519241921"/>
    <pageSetUpPr autoPageBreaks="0"/>
  </sheetPr>
  <dimension ref="B4:O15"/>
  <sheetViews>
    <sheetView zoomScale="80" zoomScaleNormal="80" zoomScaleSheetLayoutView="100" workbookViewId="0">
      <selection activeCell="S7" sqref="S7"/>
    </sheetView>
  </sheetViews>
  <sheetFormatPr defaultColWidth="9.109375" defaultRowHeight="13.8"/>
  <cols>
    <col min="1" max="1" width="9.109375" style="48"/>
    <col min="2" max="2" width="10.88671875" style="48" customWidth="1"/>
    <col min="3" max="16384" width="9.109375" style="48"/>
  </cols>
  <sheetData>
    <row r="4" spans="2:15" ht="24.6">
      <c r="B4" s="54" t="s">
        <v>142</v>
      </c>
    </row>
    <row r="5" spans="2:15" ht="21" customHeight="1"/>
    <row r="6" spans="2:15" ht="16.8">
      <c r="C6" s="139"/>
      <c r="D6" s="725"/>
      <c r="E6" s="139"/>
      <c r="F6" s="139"/>
      <c r="G6" s="139"/>
      <c r="H6" s="139"/>
      <c r="I6" s="139"/>
      <c r="J6" s="139"/>
      <c r="K6" s="139"/>
      <c r="L6" s="139"/>
      <c r="M6" s="139"/>
      <c r="N6" s="139"/>
      <c r="O6" s="139"/>
    </row>
    <row r="7" spans="2:15" ht="16.8">
      <c r="C7" s="139"/>
      <c r="D7" s="139"/>
      <c r="E7" s="139"/>
      <c r="F7" s="139"/>
      <c r="G7" s="139"/>
      <c r="H7" s="139"/>
      <c r="I7" s="726" t="s">
        <v>289</v>
      </c>
      <c r="J7" s="139"/>
      <c r="K7" s="139"/>
      <c r="L7" s="139"/>
      <c r="M7" s="139"/>
      <c r="N7" s="139"/>
      <c r="O7" s="139"/>
    </row>
    <row r="8" spans="2:15" ht="16.8">
      <c r="C8" s="139"/>
      <c r="D8" s="139"/>
      <c r="E8" s="725"/>
      <c r="F8" s="139"/>
      <c r="G8" s="139"/>
      <c r="H8" s="139"/>
      <c r="I8" s="726" t="s">
        <v>290</v>
      </c>
      <c r="J8" s="139"/>
      <c r="K8" s="139"/>
      <c r="L8" s="139"/>
      <c r="M8" s="139"/>
      <c r="N8" s="139"/>
      <c r="O8" s="139"/>
    </row>
    <row r="9" spans="2:15" ht="16.8">
      <c r="C9" s="139"/>
      <c r="D9" s="139"/>
      <c r="E9" s="725"/>
      <c r="F9" s="139"/>
      <c r="G9" s="139"/>
      <c r="H9" s="139"/>
      <c r="I9" s="139"/>
      <c r="J9" s="139"/>
      <c r="K9" s="139"/>
      <c r="L9" s="139"/>
      <c r="M9" s="139"/>
      <c r="N9" s="139"/>
      <c r="O9" s="139"/>
    </row>
    <row r="10" spans="2:15" ht="16.8">
      <c r="D10" s="53"/>
    </row>
    <row r="11" spans="2:15" ht="16.8">
      <c r="D11" s="53"/>
    </row>
    <row r="12" spans="2:15" ht="16.8">
      <c r="D12" s="53"/>
    </row>
    <row r="13" spans="2:15" ht="16.8">
      <c r="D13" s="53"/>
    </row>
    <row r="14" spans="2:15" ht="16.8">
      <c r="D14" s="53"/>
    </row>
    <row r="15" spans="2:15" ht="16.8">
      <c r="D15" s="53"/>
    </row>
  </sheetData>
  <pageMargins left="0.7" right="0.7" top="0.75" bottom="0.75" header="0.3" footer="0.3"/>
  <pageSetup orientation="portrait" horizontalDpi="1200" verticalDpi="1200" r:id="rId1"/>
  <drawing r:id="rId2"/>
  <legacyDrawing r:id="rId3"/>
  <controls>
    <mc:AlternateContent xmlns:mc="http://schemas.openxmlformats.org/markup-compatibility/2006">
      <mc:Choice Requires="x14">
        <control shapeId="26630" r:id="rId4" name="CommandButton1">
          <controlPr defaultSize="0" autoLine="0" altText="button, click to export selected comparison models and baseline model to pdf" r:id="rId5">
            <anchor moveWithCells="1">
              <from>
                <xdr:col>6</xdr:col>
                <xdr:colOff>464820</xdr:colOff>
                <xdr:row>25</xdr:row>
                <xdr:rowOff>68580</xdr:rowOff>
              </from>
              <to>
                <xdr:col>10</xdr:col>
                <xdr:colOff>22860</xdr:colOff>
                <xdr:row>28</xdr:row>
                <xdr:rowOff>160020</xdr:rowOff>
              </to>
            </anchor>
          </controlPr>
        </control>
      </mc:Choice>
      <mc:Fallback>
        <control shapeId="26630" r:id="rId4" name="CommandButton1"/>
      </mc:Fallback>
    </mc:AlternateContent>
    <mc:AlternateContent xmlns:mc="http://schemas.openxmlformats.org/markup-compatibility/2006">
      <mc:Choice Requires="x14">
        <control shapeId="26628" r:id="rId6" name="CheckBox4">
          <controlPr defaultSize="0" autoLine="0" altText="checkbox, check to add comparison model 4 to your results pdf" r:id="rId7">
            <anchor moveWithCells="1">
              <from>
                <xdr:col>6</xdr:col>
                <xdr:colOff>99060</xdr:colOff>
                <xdr:row>21</xdr:row>
                <xdr:rowOff>68580</xdr:rowOff>
              </from>
              <to>
                <xdr:col>10</xdr:col>
                <xdr:colOff>411480</xdr:colOff>
                <xdr:row>24</xdr:row>
                <xdr:rowOff>60960</xdr:rowOff>
              </to>
            </anchor>
          </controlPr>
        </control>
      </mc:Choice>
      <mc:Fallback>
        <control shapeId="26628" r:id="rId6" name="CheckBox4"/>
      </mc:Fallback>
    </mc:AlternateContent>
    <mc:AlternateContent xmlns:mc="http://schemas.openxmlformats.org/markup-compatibility/2006">
      <mc:Choice Requires="x14">
        <control shapeId="26627" r:id="rId8" name="CheckBox3">
          <controlPr defaultSize="0" autoLine="0" altText="checkbox, check to add comparison model 3 to your results pdf" r:id="rId9">
            <anchor moveWithCells="1">
              <from>
                <xdr:col>6</xdr:col>
                <xdr:colOff>99060</xdr:colOff>
                <xdr:row>17</xdr:row>
                <xdr:rowOff>137160</xdr:rowOff>
              </from>
              <to>
                <xdr:col>10</xdr:col>
                <xdr:colOff>411480</xdr:colOff>
                <xdr:row>20</xdr:row>
                <xdr:rowOff>137160</xdr:rowOff>
              </to>
            </anchor>
          </controlPr>
        </control>
      </mc:Choice>
      <mc:Fallback>
        <control shapeId="26627" r:id="rId8" name="CheckBox3"/>
      </mc:Fallback>
    </mc:AlternateContent>
    <mc:AlternateContent xmlns:mc="http://schemas.openxmlformats.org/markup-compatibility/2006">
      <mc:Choice Requires="x14">
        <control shapeId="26626" r:id="rId10" name="CheckBox2">
          <controlPr defaultSize="0" autoLine="0" autoPict="0" altText="checkbox, check to add comparison model 2 to your results pdf" r:id="rId11">
            <anchor moveWithCells="1">
              <from>
                <xdr:col>6</xdr:col>
                <xdr:colOff>99060</xdr:colOff>
                <xdr:row>14</xdr:row>
                <xdr:rowOff>45720</xdr:rowOff>
              </from>
              <to>
                <xdr:col>10</xdr:col>
                <xdr:colOff>464820</xdr:colOff>
                <xdr:row>16</xdr:row>
                <xdr:rowOff>175260</xdr:rowOff>
              </to>
            </anchor>
          </controlPr>
        </control>
      </mc:Choice>
      <mc:Fallback>
        <control shapeId="26626" r:id="rId10" name="CheckBox2"/>
      </mc:Fallback>
    </mc:AlternateContent>
    <mc:AlternateContent xmlns:mc="http://schemas.openxmlformats.org/markup-compatibility/2006">
      <mc:Choice Requires="x14">
        <control shapeId="26625" r:id="rId12" name="CheckBox1">
          <controlPr defaultSize="0" autoLine="0" altText="checkbox, check to add comparison model 1 to your results pdf" r:id="rId13">
            <anchor moveWithCells="1">
              <from>
                <xdr:col>6</xdr:col>
                <xdr:colOff>99060</xdr:colOff>
                <xdr:row>11</xdr:row>
                <xdr:rowOff>7620</xdr:rowOff>
              </from>
              <to>
                <xdr:col>10</xdr:col>
                <xdr:colOff>411480</xdr:colOff>
                <xdr:row>13</xdr:row>
                <xdr:rowOff>99060</xdr:rowOff>
              </to>
            </anchor>
          </controlPr>
        </control>
      </mc:Choice>
      <mc:Fallback>
        <control shapeId="26625" r:id="rId12" name="CheckBox1"/>
      </mc:Fallback>
    </mc:AlternateContent>
    <mc:AlternateContent xmlns:mc="http://schemas.openxmlformats.org/markup-compatibility/2006">
      <mc:Choice Requires="x14">
        <control shapeId="26631" r:id="rId14" name="CommandButton2">
          <controlPr defaultSize="0" autoLine="0" autoPict="0" altText="button, click to go back to the table of contents_x000a_" r:id="rId15">
            <anchor moveWithCells="1">
              <from>
                <xdr:col>12</xdr:col>
                <xdr:colOff>160020</xdr:colOff>
                <xdr:row>2</xdr:row>
                <xdr:rowOff>68580</xdr:rowOff>
              </from>
              <to>
                <xdr:col>15</xdr:col>
                <xdr:colOff>525780</xdr:colOff>
                <xdr:row>3</xdr:row>
                <xdr:rowOff>220980</xdr:rowOff>
              </to>
            </anchor>
          </controlPr>
        </control>
      </mc:Choice>
      <mc:Fallback>
        <control shapeId="26631" r:id="rId14" name="CommandButton2"/>
      </mc:Fallback>
    </mc:AlternateContent>
  </control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tabColor theme="9" tint="0.39997558519241921"/>
    <pageSetUpPr autoPageBreaks="0"/>
  </sheetPr>
  <dimension ref="A4:W312"/>
  <sheetViews>
    <sheetView zoomScale="80" zoomScaleNormal="80" workbookViewId="0"/>
  </sheetViews>
  <sheetFormatPr defaultColWidth="9.109375" defaultRowHeight="13.8"/>
  <cols>
    <col min="1" max="1" width="10.44140625" style="48" customWidth="1"/>
    <col min="2" max="4" width="9.109375" style="48"/>
    <col min="5" max="5" width="7.88671875" style="48" customWidth="1"/>
    <col min="6" max="6" width="20" style="48" customWidth="1"/>
    <col min="7" max="7" width="13.44140625" style="48" customWidth="1"/>
    <col min="8" max="11" width="13.33203125" style="48" customWidth="1"/>
    <col min="12" max="12" width="9.6640625" style="48" customWidth="1"/>
    <col min="13" max="13" width="20.33203125" style="48" customWidth="1"/>
    <col min="14" max="15" width="13.33203125" style="48" customWidth="1"/>
    <col min="16" max="16" width="9.5546875" style="48" customWidth="1"/>
    <col min="17" max="17" width="11" style="48" customWidth="1"/>
    <col min="18" max="18" width="11.44140625" style="48" customWidth="1"/>
    <col min="19" max="19" width="14" style="48" customWidth="1"/>
    <col min="20" max="20" width="11.44140625" style="48" customWidth="1"/>
    <col min="21" max="21" width="11.6640625" style="48" customWidth="1"/>
    <col min="22" max="16384" width="9.109375" style="48"/>
  </cols>
  <sheetData>
    <row r="4" spans="2:17" ht="24.6">
      <c r="B4" s="54" t="s">
        <v>55</v>
      </c>
    </row>
    <row r="7" spans="2:17" ht="21" customHeight="1">
      <c r="B7" s="558"/>
      <c r="C7" s="506" t="s">
        <v>54</v>
      </c>
      <c r="D7" s="558"/>
      <c r="E7" s="139"/>
      <c r="F7" s="139"/>
      <c r="G7" s="139"/>
      <c r="H7" s="139"/>
      <c r="I7" s="139"/>
      <c r="J7" s="139"/>
      <c r="K7" s="562" t="s">
        <v>259</v>
      </c>
      <c r="L7" s="139"/>
      <c r="M7" s="139"/>
      <c r="N7" s="139"/>
      <c r="O7" s="139"/>
      <c r="P7" s="139"/>
      <c r="Q7" s="139"/>
    </row>
    <row r="8" spans="2:17" ht="16.8">
      <c r="E8" s="139"/>
      <c r="F8" s="139"/>
      <c r="G8" s="139"/>
      <c r="H8" s="139"/>
      <c r="I8" s="139"/>
      <c r="J8" s="139"/>
      <c r="K8" s="509" t="s">
        <v>260</v>
      </c>
      <c r="L8" s="139"/>
      <c r="M8" s="139"/>
      <c r="N8" s="139"/>
      <c r="O8" s="139"/>
      <c r="P8" s="139"/>
      <c r="Q8" s="139"/>
    </row>
    <row r="9" spans="2:17">
      <c r="E9" s="139"/>
      <c r="F9" s="139"/>
      <c r="G9" s="139"/>
      <c r="H9" s="139"/>
      <c r="I9" s="139"/>
      <c r="J9" s="139"/>
      <c r="K9" s="139"/>
      <c r="L9" s="139"/>
      <c r="M9" s="139"/>
      <c r="N9" s="139"/>
      <c r="O9" s="139"/>
      <c r="P9" s="139"/>
      <c r="Q9" s="139"/>
    </row>
    <row r="10" spans="2:17" ht="16.8">
      <c r="E10" s="139"/>
      <c r="F10" s="139"/>
      <c r="G10" s="139"/>
      <c r="H10" s="139"/>
      <c r="I10" s="139"/>
      <c r="J10" s="139"/>
      <c r="K10" s="509" t="s">
        <v>210</v>
      </c>
      <c r="L10" s="139"/>
      <c r="M10" s="139"/>
      <c r="N10" s="139"/>
      <c r="O10" s="139"/>
      <c r="P10" s="139"/>
      <c r="Q10" s="139"/>
    </row>
    <row r="11" spans="2:17">
      <c r="E11" s="139"/>
      <c r="F11" s="139"/>
      <c r="G11" s="139"/>
      <c r="H11" s="139"/>
      <c r="I11" s="139"/>
      <c r="J11" s="139"/>
      <c r="K11" s="139"/>
      <c r="L11" s="139"/>
      <c r="M11" s="139"/>
      <c r="N11" s="139"/>
      <c r="O11" s="139"/>
      <c r="P11" s="139"/>
      <c r="Q11" s="139"/>
    </row>
    <row r="12" spans="2:17" ht="16.8">
      <c r="E12" s="139"/>
      <c r="F12" s="139"/>
      <c r="G12" s="139"/>
      <c r="H12" s="139"/>
      <c r="I12" s="139"/>
      <c r="J12" s="139"/>
      <c r="K12" s="509" t="s">
        <v>211</v>
      </c>
      <c r="L12" s="139"/>
      <c r="M12" s="139"/>
      <c r="N12" s="139"/>
      <c r="O12" s="139"/>
      <c r="P12" s="139"/>
      <c r="Q12" s="139"/>
    </row>
    <row r="13" spans="2:17">
      <c r="E13" s="139"/>
      <c r="F13" s="139"/>
      <c r="G13" s="139"/>
      <c r="H13" s="139"/>
      <c r="I13" s="139"/>
      <c r="J13" s="139"/>
      <c r="K13" s="139"/>
      <c r="L13" s="139"/>
      <c r="M13" s="139"/>
      <c r="N13" s="139"/>
      <c r="O13" s="139"/>
      <c r="P13" s="139"/>
      <c r="Q13" s="139"/>
    </row>
    <row r="14" spans="2:17" ht="16.8">
      <c r="E14" s="139"/>
      <c r="F14" s="139"/>
      <c r="G14" s="139"/>
      <c r="H14" s="139"/>
      <c r="I14" s="139"/>
      <c r="J14" s="139"/>
      <c r="K14" s="562" t="s">
        <v>212</v>
      </c>
      <c r="L14" s="139"/>
      <c r="M14" s="139"/>
      <c r="N14" s="139"/>
      <c r="O14" s="139"/>
      <c r="P14" s="139"/>
      <c r="Q14" s="139"/>
    </row>
    <row r="15" spans="2:17" ht="21" customHeight="1">
      <c r="E15" s="139"/>
      <c r="F15" s="139"/>
      <c r="G15" s="139"/>
      <c r="H15" s="139"/>
      <c r="I15" s="139"/>
      <c r="J15" s="139"/>
      <c r="K15" s="530" t="s">
        <v>213</v>
      </c>
      <c r="L15" s="139"/>
      <c r="M15" s="139"/>
      <c r="N15" s="139"/>
      <c r="O15" s="139"/>
      <c r="P15" s="139"/>
      <c r="Q15" s="139"/>
    </row>
    <row r="19" spans="3:16" ht="17.399999999999999" thickBot="1">
      <c r="C19" s="647" t="s">
        <v>16</v>
      </c>
      <c r="D19" s="647" t="s">
        <v>143</v>
      </c>
      <c r="E19" s="646"/>
      <c r="F19" s="646"/>
      <c r="G19" s="646"/>
      <c r="H19" s="646"/>
      <c r="I19" s="646"/>
      <c r="J19" s="646"/>
      <c r="K19" s="646"/>
      <c r="L19" s="648"/>
      <c r="M19" s="648"/>
      <c r="N19" s="646"/>
      <c r="O19" s="646"/>
      <c r="P19" s="646"/>
    </row>
    <row r="21" spans="3:16">
      <c r="H21" s="58" t="s">
        <v>7</v>
      </c>
      <c r="J21" s="161"/>
    </row>
    <row r="22" spans="3:16">
      <c r="G22" s="58" t="s">
        <v>4</v>
      </c>
      <c r="H22" s="58" t="s">
        <v>5</v>
      </c>
      <c r="I22" s="58">
        <v>18</v>
      </c>
      <c r="J22" s="161"/>
    </row>
    <row r="23" spans="3:16">
      <c r="F23" s="162" t="s">
        <v>12</v>
      </c>
      <c r="G23" s="93">
        <v>6324725</v>
      </c>
      <c r="H23" s="93">
        <v>4331557</v>
      </c>
      <c r="I23" s="93">
        <v>2158502</v>
      </c>
      <c r="J23" s="98"/>
    </row>
    <row r="24" spans="3:16">
      <c r="F24" s="63" t="s">
        <v>13</v>
      </c>
      <c r="G24" s="93">
        <v>6075700</v>
      </c>
      <c r="H24" s="93">
        <v>4138668</v>
      </c>
      <c r="I24" s="93">
        <v>2060801</v>
      </c>
      <c r="J24" s="98"/>
    </row>
    <row r="25" spans="3:16">
      <c r="F25" s="100"/>
      <c r="G25" s="402"/>
      <c r="H25" s="402"/>
      <c r="I25" s="402"/>
      <c r="J25" s="403" t="s">
        <v>15</v>
      </c>
    </row>
    <row r="26" spans="3:16">
      <c r="F26" s="63" t="s">
        <v>15</v>
      </c>
      <c r="G26" s="97">
        <f>G23+G24</f>
        <v>12400425</v>
      </c>
      <c r="H26" s="97">
        <f>H23+H24</f>
        <v>8470225</v>
      </c>
      <c r="I26" s="97">
        <f>I23+I24</f>
        <v>4219303</v>
      </c>
      <c r="J26" s="436">
        <f>G26+H26+I26</f>
        <v>25089953</v>
      </c>
    </row>
    <row r="27" spans="3:16">
      <c r="F27" s="63"/>
      <c r="G27" s="78"/>
      <c r="H27" s="78"/>
      <c r="I27" s="78"/>
      <c r="J27" s="61"/>
    </row>
    <row r="28" spans="3:16" ht="17.399999999999999" thickBot="1">
      <c r="C28" s="647" t="s">
        <v>19</v>
      </c>
      <c r="D28" s="647" t="s">
        <v>144</v>
      </c>
      <c r="E28" s="646"/>
      <c r="F28" s="646"/>
      <c r="G28" s="646"/>
      <c r="H28" s="646"/>
      <c r="I28" s="646"/>
      <c r="J28" s="646"/>
      <c r="K28" s="646"/>
      <c r="L28" s="646"/>
      <c r="M28" s="646"/>
      <c r="N28" s="646"/>
      <c r="O28" s="646"/>
      <c r="P28" s="646"/>
    </row>
    <row r="29" spans="3:16">
      <c r="D29" s="163"/>
      <c r="F29" s="61"/>
      <c r="G29" s="61"/>
      <c r="H29" s="61"/>
      <c r="I29" s="61"/>
      <c r="J29" s="61"/>
    </row>
    <row r="30" spans="3:16">
      <c r="H30" s="58" t="s">
        <v>7</v>
      </c>
      <c r="J30" s="161"/>
    </row>
    <row r="31" spans="3:16">
      <c r="G31" s="58" t="s">
        <v>4</v>
      </c>
      <c r="H31" s="58" t="s">
        <v>5</v>
      </c>
      <c r="I31" s="58" t="s">
        <v>6</v>
      </c>
      <c r="J31" s="161"/>
    </row>
    <row r="32" spans="3:16">
      <c r="F32" s="162" t="s">
        <v>12</v>
      </c>
      <c r="G32" s="377">
        <v>0.49299999999999999</v>
      </c>
      <c r="H32" s="377">
        <v>0.96299999999999997</v>
      </c>
      <c r="I32" s="377">
        <v>0.65700000000000003</v>
      </c>
      <c r="J32" s="94"/>
    </row>
    <row r="33" spans="3:16">
      <c r="F33" s="63" t="s">
        <v>13</v>
      </c>
      <c r="G33" s="377">
        <v>0.502</v>
      </c>
      <c r="H33" s="377">
        <v>0.997</v>
      </c>
      <c r="I33" s="377">
        <v>0.53600000000000003</v>
      </c>
      <c r="J33" s="94"/>
    </row>
    <row r="34" spans="3:16">
      <c r="F34" s="100"/>
      <c r="G34" s="94"/>
      <c r="H34" s="94"/>
      <c r="I34" s="94"/>
      <c r="J34" s="94"/>
    </row>
    <row r="35" spans="3:16">
      <c r="F35" s="63"/>
      <c r="G35" s="78"/>
      <c r="H35" s="78"/>
      <c r="I35" s="78"/>
      <c r="J35" s="61"/>
    </row>
    <row r="36" spans="3:16" ht="17.399999999999999" thickBot="1">
      <c r="C36" s="647" t="s">
        <v>22</v>
      </c>
      <c r="D36" s="647" t="s">
        <v>269</v>
      </c>
      <c r="E36" s="646"/>
      <c r="F36" s="646"/>
      <c r="G36" s="646"/>
      <c r="H36" s="646"/>
      <c r="I36" s="646"/>
      <c r="J36" s="646"/>
      <c r="K36" s="646"/>
      <c r="L36" s="646"/>
      <c r="M36" s="646"/>
      <c r="N36" s="646"/>
      <c r="O36" s="646"/>
      <c r="P36" s="646"/>
    </row>
    <row r="37" spans="3:16">
      <c r="E37" s="163" t="s">
        <v>125</v>
      </c>
    </row>
    <row r="38" spans="3:16">
      <c r="F38" s="163"/>
    </row>
    <row r="39" spans="3:16">
      <c r="H39" s="58" t="s">
        <v>7</v>
      </c>
    </row>
    <row r="40" spans="3:16">
      <c r="G40" s="58" t="s">
        <v>4</v>
      </c>
      <c r="H40" s="58" t="s">
        <v>5</v>
      </c>
      <c r="I40" s="58" t="s">
        <v>6</v>
      </c>
    </row>
    <row r="41" spans="3:16">
      <c r="F41" s="162" t="s">
        <v>65</v>
      </c>
      <c r="G41" s="64">
        <v>1.3100000000000001E-2</v>
      </c>
      <c r="H41" s="64">
        <v>2.1899999999999999E-2</v>
      </c>
      <c r="I41" s="64">
        <v>2.64E-2</v>
      </c>
    </row>
    <row r="42" spans="3:16">
      <c r="F42" s="63" t="s">
        <v>95</v>
      </c>
      <c r="G42" s="64">
        <v>0.22370000000000001</v>
      </c>
      <c r="H42" s="64">
        <v>0.41649999999999998</v>
      </c>
      <c r="I42" s="64">
        <v>0.50019999999999998</v>
      </c>
    </row>
    <row r="43" spans="3:16">
      <c r="F43" s="100" t="s">
        <v>67</v>
      </c>
      <c r="G43" s="67">
        <v>0.1842</v>
      </c>
      <c r="H43" s="64">
        <v>0.4123</v>
      </c>
      <c r="I43" s="64">
        <v>0.52659999999999996</v>
      </c>
    </row>
    <row r="44" spans="3:16">
      <c r="G44" s="164"/>
      <c r="H44" s="58"/>
    </row>
    <row r="45" spans="3:16">
      <c r="G45" s="165"/>
      <c r="H45" s="58"/>
      <c r="J45" s="163"/>
    </row>
    <row r="46" spans="3:16">
      <c r="F46" s="77"/>
      <c r="G46" s="94"/>
      <c r="H46" s="94"/>
      <c r="I46" s="94"/>
      <c r="J46" s="94"/>
    </row>
    <row r="47" spans="3:16">
      <c r="E47" s="173"/>
      <c r="F47" s="68"/>
      <c r="G47" s="68"/>
      <c r="H47" s="173"/>
      <c r="I47" s="68"/>
      <c r="J47" s="68"/>
      <c r="K47" s="173"/>
    </row>
    <row r="48" spans="3:16" ht="16.8">
      <c r="C48" s="61"/>
      <c r="D48" s="61"/>
      <c r="E48" s="650"/>
      <c r="F48" s="68"/>
      <c r="G48" s="68"/>
      <c r="H48" s="649" t="s">
        <v>261</v>
      </c>
      <c r="I48" s="68"/>
      <c r="J48" s="70"/>
      <c r="K48" s="650"/>
      <c r="L48" s="61"/>
      <c r="M48" s="61"/>
    </row>
    <row r="49" spans="5:15" ht="16.8">
      <c r="E49" s="173"/>
      <c r="F49" s="563"/>
      <c r="G49" s="563"/>
      <c r="H49" s="76" t="s">
        <v>124</v>
      </c>
      <c r="I49" s="563"/>
      <c r="J49" s="563"/>
      <c r="K49" s="173"/>
    </row>
    <row r="50" spans="5:15">
      <c r="E50" s="173"/>
      <c r="F50" s="166"/>
      <c r="G50" s="75"/>
      <c r="H50" s="75"/>
      <c r="I50" s="75"/>
      <c r="J50" s="68"/>
      <c r="K50" s="173"/>
      <c r="O50" s="82"/>
    </row>
    <row r="51" spans="5:15">
      <c r="E51" s="173"/>
      <c r="F51" s="68"/>
      <c r="G51" s="68"/>
      <c r="H51" s="69" t="s">
        <v>7</v>
      </c>
      <c r="I51" s="68"/>
      <c r="J51" s="68"/>
      <c r="K51" s="173"/>
      <c r="O51" s="82"/>
    </row>
    <row r="52" spans="5:15">
      <c r="E52" s="173"/>
      <c r="F52" s="68"/>
      <c r="G52" s="69" t="s">
        <v>4</v>
      </c>
      <c r="H52" s="69" t="s">
        <v>5</v>
      </c>
      <c r="I52" s="69" t="s">
        <v>6</v>
      </c>
      <c r="J52" s="68"/>
      <c r="K52" s="173"/>
    </row>
    <row r="53" spans="5:15">
      <c r="E53" s="173"/>
      <c r="F53" s="72" t="s">
        <v>65</v>
      </c>
      <c r="G53" s="97">
        <f>G$23*G$32*G41</f>
        <v>40846.9714675</v>
      </c>
      <c r="H53" s="97">
        <f t="shared" ref="H53:I54" si="0">H$23*H$32*H41</f>
        <v>91351.237662899992</v>
      </c>
      <c r="I53" s="97">
        <f t="shared" si="0"/>
        <v>37438.785489599999</v>
      </c>
      <c r="J53" s="68"/>
      <c r="K53" s="173"/>
    </row>
    <row r="54" spans="5:15">
      <c r="E54" s="173"/>
      <c r="F54" s="72" t="s">
        <v>95</v>
      </c>
      <c r="G54" s="97">
        <f>G$23*G$32*G42</f>
        <v>697516.60437249998</v>
      </c>
      <c r="H54" s="97">
        <f t="shared" si="0"/>
        <v>1737342.0313515</v>
      </c>
      <c r="I54" s="97">
        <f>I$23*I$32*I42</f>
        <v>709351.53416279994</v>
      </c>
      <c r="J54" s="68"/>
      <c r="K54" s="173"/>
    </row>
    <row r="55" spans="5:15">
      <c r="E55" s="173"/>
      <c r="F55" s="72" t="s">
        <v>67</v>
      </c>
      <c r="G55" s="97">
        <f>G24*G33*G43</f>
        <v>561810.25788000005</v>
      </c>
      <c r="H55" s="97">
        <f t="shared" ref="H55:I55" si="1">H24*H33*H43</f>
        <v>1701253.6979507999</v>
      </c>
      <c r="I55" s="97">
        <f t="shared" si="1"/>
        <v>581676.74433760007</v>
      </c>
      <c r="J55" s="68"/>
      <c r="K55" s="173"/>
    </row>
    <row r="56" spans="5:15">
      <c r="E56" s="173"/>
      <c r="F56" s="68"/>
      <c r="G56" s="68"/>
      <c r="H56" s="68"/>
      <c r="I56" s="68"/>
      <c r="J56" s="68"/>
      <c r="K56" s="173"/>
    </row>
    <row r="57" spans="5:15">
      <c r="E57" s="173"/>
      <c r="F57" s="173"/>
      <c r="G57" s="173"/>
      <c r="H57" s="173"/>
      <c r="I57" s="173"/>
      <c r="J57" s="173"/>
      <c r="K57" s="173"/>
    </row>
    <row r="67" spans="2:17" ht="24.6">
      <c r="B67" s="54" t="s">
        <v>100</v>
      </c>
    </row>
    <row r="70" spans="2:17" ht="27" customHeight="1">
      <c r="B70" s="558"/>
      <c r="C70" s="506" t="s">
        <v>54</v>
      </c>
      <c r="D70" s="558"/>
      <c r="F70" s="559"/>
      <c r="G70" s="559"/>
      <c r="H70" s="559"/>
      <c r="I70" s="559"/>
      <c r="J70" s="559"/>
      <c r="K70" s="560" t="s">
        <v>214</v>
      </c>
      <c r="L70" s="559"/>
      <c r="M70" s="559"/>
      <c r="N70" s="559"/>
      <c r="O70" s="559"/>
      <c r="P70" s="559"/>
      <c r="Q70" s="559"/>
    </row>
    <row r="71" spans="2:17" ht="16.8">
      <c r="F71" s="559"/>
      <c r="G71" s="559"/>
      <c r="H71" s="559"/>
      <c r="I71" s="559"/>
      <c r="J71" s="559"/>
      <c r="K71" s="561" t="s">
        <v>215</v>
      </c>
      <c r="L71" s="559"/>
      <c r="M71" s="559"/>
      <c r="N71" s="559"/>
      <c r="O71" s="559"/>
      <c r="P71" s="559"/>
      <c r="Q71" s="559"/>
    </row>
    <row r="72" spans="2:17">
      <c r="D72" s="102"/>
      <c r="E72" s="61"/>
      <c r="F72" s="565"/>
      <c r="G72" s="565"/>
      <c r="H72" s="566"/>
      <c r="I72" s="565"/>
      <c r="J72" s="565"/>
      <c r="K72" s="565"/>
      <c r="L72" s="565"/>
      <c r="M72" s="565"/>
      <c r="N72" s="565"/>
      <c r="O72" s="566"/>
      <c r="P72" s="565"/>
      <c r="Q72" s="559"/>
    </row>
    <row r="73" spans="2:17" ht="16.8">
      <c r="D73" s="102"/>
      <c r="E73" s="61"/>
      <c r="F73" s="565"/>
      <c r="G73" s="566"/>
      <c r="H73" s="566"/>
      <c r="I73" s="566"/>
      <c r="J73" s="565"/>
      <c r="K73" s="561" t="s">
        <v>216</v>
      </c>
      <c r="L73" s="565"/>
      <c r="M73" s="565"/>
      <c r="N73" s="566"/>
      <c r="O73" s="566"/>
      <c r="P73" s="566"/>
      <c r="Q73" s="559"/>
    </row>
    <row r="74" spans="2:17" ht="16.8">
      <c r="D74" s="564"/>
      <c r="E74" s="571"/>
      <c r="F74" s="568"/>
      <c r="G74" s="565"/>
      <c r="H74" s="565"/>
      <c r="I74" s="565"/>
      <c r="J74" s="565"/>
      <c r="K74" s="573" t="s">
        <v>217</v>
      </c>
      <c r="L74" s="567"/>
      <c r="M74" s="568"/>
      <c r="N74" s="565"/>
      <c r="O74" s="565"/>
      <c r="P74" s="565"/>
      <c r="Q74" s="559"/>
    </row>
    <row r="75" spans="2:17">
      <c r="D75" s="564"/>
      <c r="E75" s="571"/>
      <c r="F75" s="568"/>
      <c r="G75" s="569"/>
      <c r="H75" s="565"/>
      <c r="I75" s="565"/>
      <c r="J75" s="565"/>
      <c r="K75" s="559"/>
      <c r="L75" s="567"/>
      <c r="M75" s="568"/>
      <c r="N75" s="569"/>
      <c r="O75" s="565"/>
      <c r="P75" s="565"/>
      <c r="Q75" s="559"/>
    </row>
    <row r="76" spans="2:17" ht="24.75" customHeight="1">
      <c r="D76" s="564"/>
      <c r="E76" s="564"/>
      <c r="F76" s="568"/>
      <c r="G76" s="565"/>
      <c r="H76" s="565"/>
      <c r="I76" s="565"/>
      <c r="J76" s="565"/>
      <c r="K76" s="572" t="s">
        <v>291</v>
      </c>
      <c r="L76" s="567"/>
      <c r="M76" s="568"/>
      <c r="N76" s="565"/>
      <c r="O76" s="565"/>
      <c r="P76" s="565"/>
      <c r="Q76" s="559"/>
    </row>
    <row r="77" spans="2:17">
      <c r="D77" s="564"/>
      <c r="E77" s="564"/>
      <c r="F77" s="168"/>
      <c r="G77" s="102"/>
      <c r="H77" s="102"/>
      <c r="I77" s="102"/>
      <c r="J77" s="102"/>
      <c r="K77" s="564"/>
      <c r="L77" s="564"/>
      <c r="M77" s="168"/>
      <c r="N77" s="102"/>
      <c r="O77" s="102"/>
      <c r="P77" s="102"/>
    </row>
    <row r="78" spans="2:17">
      <c r="D78" s="564"/>
      <c r="E78" s="564"/>
      <c r="F78" s="168"/>
      <c r="G78" s="102"/>
      <c r="H78" s="102"/>
      <c r="I78" s="102"/>
      <c r="J78" s="102"/>
      <c r="K78" s="564"/>
      <c r="L78" s="564"/>
      <c r="M78" s="168"/>
      <c r="N78" s="102"/>
      <c r="O78" s="102"/>
      <c r="P78" s="102"/>
    </row>
    <row r="79" spans="2:17">
      <c r="D79" s="564"/>
      <c r="E79" s="564"/>
      <c r="F79" s="168"/>
      <c r="G79" s="102"/>
      <c r="H79" s="102"/>
      <c r="I79" s="102"/>
      <c r="J79" s="102"/>
      <c r="K79" s="564"/>
      <c r="L79" s="564"/>
      <c r="M79" s="168"/>
      <c r="N79" s="102"/>
      <c r="O79" s="102"/>
      <c r="P79" s="102"/>
    </row>
    <row r="80" spans="2:17">
      <c r="D80" s="102"/>
      <c r="E80" s="167"/>
      <c r="F80" s="102"/>
      <c r="G80" s="102"/>
      <c r="H80" s="102"/>
      <c r="I80" s="102"/>
      <c r="J80" s="102"/>
      <c r="K80" s="102"/>
      <c r="L80" s="102"/>
      <c r="M80" s="102"/>
      <c r="N80" s="102"/>
      <c r="O80" s="102"/>
      <c r="P80" s="102"/>
    </row>
    <row r="81" spans="2:21" ht="16.8">
      <c r="D81" s="406" t="s">
        <v>264</v>
      </c>
      <c r="E81" s="406"/>
      <c r="F81" s="406"/>
      <c r="G81" s="406"/>
      <c r="H81" s="406"/>
      <c r="I81" s="406"/>
      <c r="J81" s="406"/>
      <c r="K81" s="406"/>
      <c r="L81" s="102"/>
      <c r="M81" s="102"/>
      <c r="N81" s="406" t="s">
        <v>265</v>
      </c>
      <c r="O81" s="406"/>
      <c r="P81" s="406"/>
      <c r="Q81" s="406"/>
      <c r="R81" s="406"/>
      <c r="S81" s="406"/>
      <c r="T81" s="406"/>
      <c r="U81" s="406"/>
    </row>
    <row r="83" spans="2:21" ht="16.8">
      <c r="B83" s="576" t="s">
        <v>65</v>
      </c>
      <c r="C83" s="574"/>
      <c r="D83" s="151" t="s">
        <v>218</v>
      </c>
      <c r="E83" s="140">
        <v>11</v>
      </c>
      <c r="F83" s="140">
        <v>12</v>
      </c>
      <c r="G83" s="140">
        <v>13</v>
      </c>
      <c r="H83" s="140">
        <v>14</v>
      </c>
      <c r="I83" s="140">
        <v>15</v>
      </c>
      <c r="J83" s="140">
        <v>16</v>
      </c>
      <c r="K83" s="140">
        <v>17</v>
      </c>
      <c r="M83" s="576" t="s">
        <v>65</v>
      </c>
      <c r="N83" s="151" t="s">
        <v>218</v>
      </c>
      <c r="O83" s="140">
        <v>11</v>
      </c>
      <c r="P83" s="140">
        <v>12</v>
      </c>
      <c r="Q83" s="140">
        <v>13</v>
      </c>
      <c r="R83" s="140">
        <v>14</v>
      </c>
      <c r="S83" s="140">
        <v>15</v>
      </c>
      <c r="T83" s="140">
        <v>16</v>
      </c>
      <c r="U83" s="140">
        <v>17</v>
      </c>
    </row>
    <row r="84" spans="2:21">
      <c r="B84" s="574"/>
      <c r="C84" s="574"/>
      <c r="D84" s="139">
        <v>13</v>
      </c>
      <c r="E84" s="141">
        <v>0</v>
      </c>
      <c r="F84" s="141">
        <v>0</v>
      </c>
      <c r="G84" s="142"/>
      <c r="H84" s="142"/>
      <c r="I84" s="142"/>
      <c r="J84" s="142"/>
      <c r="K84" s="142"/>
      <c r="M84" s="574"/>
      <c r="N84" s="139">
        <v>13</v>
      </c>
      <c r="O84" s="192">
        <v>0</v>
      </c>
      <c r="P84" s="192">
        <v>0</v>
      </c>
      <c r="Q84" s="142"/>
      <c r="R84" s="142"/>
      <c r="S84" s="142"/>
      <c r="T84" s="142"/>
      <c r="U84" s="142"/>
    </row>
    <row r="85" spans="2:21">
      <c r="B85" s="574"/>
      <c r="C85" s="574"/>
      <c r="D85" s="139">
        <v>14</v>
      </c>
      <c r="E85" s="143">
        <v>2.6228999999999996</v>
      </c>
      <c r="F85" s="144">
        <v>0</v>
      </c>
      <c r="G85" s="143">
        <v>1.0751999999999999</v>
      </c>
      <c r="H85" s="145"/>
      <c r="I85" s="146"/>
      <c r="J85" s="146"/>
      <c r="K85" s="146"/>
      <c r="M85" s="574"/>
      <c r="N85" s="139">
        <v>14</v>
      </c>
      <c r="O85" s="147">
        <v>5.0962674901826226</v>
      </c>
      <c r="P85" s="148">
        <v>0</v>
      </c>
      <c r="Q85" s="147">
        <v>3.666015625</v>
      </c>
      <c r="R85" s="149"/>
      <c r="S85" s="150"/>
      <c r="T85" s="150"/>
      <c r="U85" s="146"/>
    </row>
    <row r="86" spans="2:21">
      <c r="B86" s="575"/>
      <c r="C86" s="574"/>
      <c r="D86" s="139">
        <v>15</v>
      </c>
      <c r="E86" s="143">
        <v>11.641300000000001</v>
      </c>
      <c r="F86" s="143">
        <v>0.69199999999999995</v>
      </c>
      <c r="G86" s="143">
        <v>6.4969000000000001</v>
      </c>
      <c r="H86" s="143">
        <v>4.4169</v>
      </c>
      <c r="I86" s="145"/>
      <c r="J86" s="146"/>
      <c r="K86" s="146"/>
      <c r="M86" s="574"/>
      <c r="N86" s="139">
        <v>15</v>
      </c>
      <c r="O86" s="147">
        <v>3.9377560925326209</v>
      </c>
      <c r="P86" s="147">
        <v>2</v>
      </c>
      <c r="Q86" s="147">
        <v>2.86174944973757</v>
      </c>
      <c r="R86" s="147">
        <v>1.6159750050940704</v>
      </c>
      <c r="S86" s="149"/>
      <c r="T86" s="150"/>
      <c r="U86" s="146"/>
    </row>
    <row r="87" spans="2:21">
      <c r="B87" s="574"/>
      <c r="C87" s="574"/>
      <c r="D87" s="139">
        <v>16</v>
      </c>
      <c r="E87" s="143">
        <v>8.3307000000000002</v>
      </c>
      <c r="F87" s="143">
        <v>1.1457999999999999</v>
      </c>
      <c r="G87" s="143">
        <v>4.4174000000000007</v>
      </c>
      <c r="H87" s="143">
        <v>2.2570999999999999</v>
      </c>
      <c r="I87" s="143">
        <v>8.4350999999999985</v>
      </c>
      <c r="J87" s="145"/>
      <c r="K87" s="146"/>
      <c r="M87" s="574"/>
      <c r="N87" s="139">
        <v>16</v>
      </c>
      <c r="O87" s="147">
        <v>3.9386836652545201</v>
      </c>
      <c r="P87" s="147">
        <v>3.0295863152382614</v>
      </c>
      <c r="Q87" s="147">
        <v>5.5231131434780636</v>
      </c>
      <c r="R87" s="147">
        <v>2.9442204598821502</v>
      </c>
      <c r="S87" s="147">
        <v>2.1767203987829347</v>
      </c>
      <c r="T87" s="149"/>
      <c r="U87" s="150"/>
    </row>
    <row r="88" spans="2:21">
      <c r="B88" s="574"/>
      <c r="C88" s="574"/>
      <c r="D88" s="139">
        <v>17</v>
      </c>
      <c r="E88" s="143">
        <v>10.044600000000001</v>
      </c>
      <c r="F88" s="143">
        <v>2.1554000000000002</v>
      </c>
      <c r="G88" s="143">
        <v>2.3028</v>
      </c>
      <c r="H88" s="143">
        <v>9.3163</v>
      </c>
      <c r="I88" s="143">
        <v>9.178799999999999</v>
      </c>
      <c r="J88" s="143">
        <v>14.9247</v>
      </c>
      <c r="K88" s="145"/>
      <c r="M88" s="574"/>
      <c r="N88" s="139">
        <v>17</v>
      </c>
      <c r="O88" s="147">
        <v>3.5407999999999999</v>
      </c>
      <c r="P88" s="147">
        <v>4</v>
      </c>
      <c r="Q88" s="147">
        <v>4.3516154247003653</v>
      </c>
      <c r="R88" s="147">
        <v>2.3879115099342014</v>
      </c>
      <c r="S88" s="147">
        <v>3.0357998866954286</v>
      </c>
      <c r="T88" s="147">
        <v>2.5771707303999412</v>
      </c>
      <c r="U88" s="149"/>
    </row>
    <row r="89" spans="2:21">
      <c r="B89" s="574"/>
      <c r="C89" s="574"/>
      <c r="D89" s="151">
        <v>18</v>
      </c>
      <c r="E89" s="143">
        <v>9.0114000000000001</v>
      </c>
      <c r="F89" s="143">
        <v>0.28849999999999998</v>
      </c>
      <c r="G89" s="143">
        <v>3.6780999999999997</v>
      </c>
      <c r="H89" s="143">
        <v>4.3917000000000002</v>
      </c>
      <c r="I89" s="143">
        <v>4.2336999999999998</v>
      </c>
      <c r="J89" s="143">
        <v>6.2689000000000004</v>
      </c>
      <c r="K89" s="143">
        <v>6.2477</v>
      </c>
      <c r="M89" s="574"/>
      <c r="N89" s="151">
        <v>18</v>
      </c>
      <c r="O89" s="147">
        <v>5.2387420378631511</v>
      </c>
      <c r="P89" s="147">
        <v>4</v>
      </c>
      <c r="Q89" s="147">
        <v>3.4096408471765316</v>
      </c>
      <c r="R89" s="147">
        <v>4.5714643532117396</v>
      </c>
      <c r="S89" s="147">
        <v>3.4722110683326646</v>
      </c>
      <c r="T89" s="147">
        <v>3.4089074638293795</v>
      </c>
      <c r="U89" s="147">
        <v>1.3634137362549419</v>
      </c>
    </row>
    <row r="90" spans="2:21">
      <c r="O90" s="169"/>
      <c r="P90" s="169"/>
      <c r="Q90" s="169"/>
      <c r="R90" s="169"/>
      <c r="S90" s="169"/>
      <c r="T90" s="169"/>
      <c r="U90" s="169"/>
    </row>
    <row r="91" spans="2:21">
      <c r="O91" s="169"/>
      <c r="P91" s="169"/>
      <c r="Q91" s="169"/>
      <c r="R91" s="169"/>
      <c r="S91" s="169"/>
      <c r="T91" s="169"/>
      <c r="U91" s="169"/>
    </row>
    <row r="92" spans="2:21" ht="16.8">
      <c r="B92" s="576" t="s">
        <v>95</v>
      </c>
      <c r="C92" s="574"/>
      <c r="D92" s="151" t="s">
        <v>218</v>
      </c>
      <c r="E92" s="140">
        <v>11</v>
      </c>
      <c r="F92" s="140">
        <v>12</v>
      </c>
      <c r="G92" s="140">
        <v>13</v>
      </c>
      <c r="H92" s="140">
        <v>14</v>
      </c>
      <c r="I92" s="140">
        <v>15</v>
      </c>
      <c r="J92" s="140">
        <v>16</v>
      </c>
      <c r="K92" s="140">
        <v>17</v>
      </c>
      <c r="M92" s="576" t="s">
        <v>95</v>
      </c>
      <c r="N92" s="151" t="s">
        <v>218</v>
      </c>
      <c r="O92" s="152">
        <v>11</v>
      </c>
      <c r="P92" s="152">
        <v>12</v>
      </c>
      <c r="Q92" s="152">
        <v>13</v>
      </c>
      <c r="R92" s="152">
        <v>14</v>
      </c>
      <c r="S92" s="152">
        <v>15</v>
      </c>
      <c r="T92" s="152">
        <v>16</v>
      </c>
      <c r="U92" s="152">
        <v>17</v>
      </c>
    </row>
    <row r="93" spans="2:21">
      <c r="B93" s="574"/>
      <c r="C93" s="574"/>
      <c r="D93" s="139">
        <v>13</v>
      </c>
      <c r="E93" s="153">
        <v>0</v>
      </c>
      <c r="F93" s="153">
        <v>0</v>
      </c>
      <c r="G93" s="154"/>
      <c r="H93" s="154"/>
      <c r="I93" s="154"/>
      <c r="J93" s="154"/>
      <c r="K93" s="154"/>
      <c r="M93" s="574"/>
      <c r="N93" s="139">
        <v>13</v>
      </c>
      <c r="O93" s="192">
        <v>0</v>
      </c>
      <c r="P93" s="192">
        <v>0</v>
      </c>
      <c r="Q93" s="155"/>
      <c r="R93" s="155"/>
      <c r="S93" s="155"/>
      <c r="T93" s="155"/>
      <c r="U93" s="155"/>
    </row>
    <row r="94" spans="2:21">
      <c r="B94" s="574"/>
      <c r="C94" s="574"/>
      <c r="D94" s="139">
        <v>14</v>
      </c>
      <c r="E94" s="156">
        <v>11.1173</v>
      </c>
      <c r="F94" s="156">
        <v>12.908700000000001</v>
      </c>
      <c r="G94" s="156">
        <v>57.569400000000002</v>
      </c>
      <c r="H94" s="157"/>
      <c r="I94" s="158"/>
      <c r="J94" s="158"/>
      <c r="K94" s="158"/>
      <c r="M94" s="574"/>
      <c r="N94" s="139">
        <v>14</v>
      </c>
      <c r="O94" s="147">
        <v>4.4510807480233501</v>
      </c>
      <c r="P94" s="147">
        <v>2.0421498679185355</v>
      </c>
      <c r="Q94" s="147">
        <v>2.60585824565849</v>
      </c>
      <c r="R94" s="149"/>
      <c r="S94" s="150"/>
      <c r="T94" s="150"/>
      <c r="U94" s="146"/>
    </row>
    <row r="95" spans="2:21">
      <c r="B95" s="574"/>
      <c r="C95" s="574"/>
      <c r="D95" s="139">
        <v>15</v>
      </c>
      <c r="E95" s="156">
        <v>39.752099999999999</v>
      </c>
      <c r="F95" s="156">
        <v>30.372899999999998</v>
      </c>
      <c r="G95" s="156">
        <v>96.330199999999962</v>
      </c>
      <c r="H95" s="156">
        <v>178.36840000000012</v>
      </c>
      <c r="I95" s="157"/>
      <c r="J95" s="158"/>
      <c r="K95" s="158"/>
      <c r="M95" s="574"/>
      <c r="N95" s="139">
        <v>15</v>
      </c>
      <c r="O95" s="147">
        <v>4.8075598521839087</v>
      </c>
      <c r="P95" s="147">
        <v>3.1966259395711298</v>
      </c>
      <c r="Q95" s="147">
        <v>2.984036049258632</v>
      </c>
      <c r="R95" s="147">
        <v>2.225999182326984</v>
      </c>
      <c r="S95" s="149"/>
      <c r="T95" s="150"/>
      <c r="U95" s="146"/>
    </row>
    <row r="96" spans="2:21">
      <c r="B96" s="574"/>
      <c r="C96" s="574"/>
      <c r="D96" s="139">
        <v>16</v>
      </c>
      <c r="E96" s="156">
        <v>40.52239999999999</v>
      </c>
      <c r="F96" s="156">
        <v>59.223099999999988</v>
      </c>
      <c r="G96" s="156">
        <v>88.431799999999967</v>
      </c>
      <c r="H96" s="156">
        <v>127.50350000000007</v>
      </c>
      <c r="I96" s="156">
        <v>234.02890000000008</v>
      </c>
      <c r="J96" s="157"/>
      <c r="K96" s="158"/>
      <c r="M96" s="574"/>
      <c r="N96" s="139">
        <v>16</v>
      </c>
      <c r="O96" s="147">
        <v>4.7180863483168896</v>
      </c>
      <c r="P96" s="147">
        <v>4.7105643943569317</v>
      </c>
      <c r="Q96" s="147">
        <v>3.6530582663324411</v>
      </c>
      <c r="R96" s="147">
        <v>3.3271239868639988</v>
      </c>
      <c r="S96" s="147">
        <v>1.8715785050709208</v>
      </c>
      <c r="T96" s="149"/>
      <c r="U96" s="150"/>
    </row>
    <row r="97" spans="2:22">
      <c r="B97" s="574"/>
      <c r="C97" s="574"/>
      <c r="D97" s="139">
        <v>17</v>
      </c>
      <c r="E97" s="156">
        <v>46.614899999999999</v>
      </c>
      <c r="F97" s="156">
        <v>28.119599999999998</v>
      </c>
      <c r="G97" s="156">
        <v>74.650100000000009</v>
      </c>
      <c r="H97" s="156">
        <v>195.1155</v>
      </c>
      <c r="I97" s="156">
        <v>206.66639999999995</v>
      </c>
      <c r="J97" s="156">
        <v>260.21759999999978</v>
      </c>
      <c r="K97" s="157"/>
      <c r="M97" s="574"/>
      <c r="N97" s="139">
        <v>17</v>
      </c>
      <c r="O97" s="147">
        <v>5.1909159079661915</v>
      </c>
      <c r="P97" s="147">
        <v>4.6338070242819951</v>
      </c>
      <c r="Q97" s="147">
        <v>4.3213940771680139</v>
      </c>
      <c r="R97" s="147">
        <v>3.787240464662843</v>
      </c>
      <c r="S97" s="147">
        <v>2.9388377142175672</v>
      </c>
      <c r="T97" s="147">
        <v>2.0598343268513148</v>
      </c>
      <c r="U97" s="149"/>
    </row>
    <row r="98" spans="2:22">
      <c r="B98" s="574"/>
      <c r="C98" s="574"/>
      <c r="D98" s="151">
        <v>18</v>
      </c>
      <c r="E98" s="156">
        <v>38.321700000000007</v>
      </c>
      <c r="F98" s="156">
        <v>22.127400000000005</v>
      </c>
      <c r="G98" s="156">
        <v>52.553300000000007</v>
      </c>
      <c r="H98" s="156">
        <v>91.787999999999982</v>
      </c>
      <c r="I98" s="156">
        <v>119.12839999999998</v>
      </c>
      <c r="J98" s="156">
        <v>141.82639999999984</v>
      </c>
      <c r="K98" s="156">
        <v>178.71379999999991</v>
      </c>
      <c r="M98" s="574"/>
      <c r="N98" s="151">
        <v>18</v>
      </c>
      <c r="O98" s="147">
        <v>5.4993696977956441</v>
      </c>
      <c r="P98" s="147">
        <v>4.7046828818568818</v>
      </c>
      <c r="Q98" s="147">
        <v>4.5899667575585203</v>
      </c>
      <c r="R98" s="147">
        <v>4.1799713003456311</v>
      </c>
      <c r="S98" s="147">
        <v>3.4017206169008101</v>
      </c>
      <c r="T98" s="147">
        <v>2.8142362775900729</v>
      </c>
      <c r="U98" s="147">
        <v>1.4014336816860293</v>
      </c>
    </row>
    <row r="99" spans="2:22">
      <c r="O99" s="169"/>
      <c r="P99" s="169"/>
      <c r="Q99" s="169"/>
      <c r="R99" s="169"/>
      <c r="S99" s="169"/>
      <c r="T99" s="169"/>
      <c r="U99" s="169"/>
    </row>
    <row r="100" spans="2:22">
      <c r="O100" s="169"/>
      <c r="P100" s="169"/>
      <c r="Q100" s="169"/>
      <c r="R100" s="169"/>
      <c r="S100" s="169"/>
      <c r="T100" s="169"/>
      <c r="U100" s="169"/>
    </row>
    <row r="101" spans="2:22" ht="16.8">
      <c r="B101" s="576" t="s">
        <v>67</v>
      </c>
      <c r="C101" s="574"/>
      <c r="D101" s="151" t="s">
        <v>218</v>
      </c>
      <c r="E101" s="140">
        <v>11</v>
      </c>
      <c r="F101" s="140">
        <v>12</v>
      </c>
      <c r="G101" s="140">
        <v>13</v>
      </c>
      <c r="H101" s="140">
        <v>14</v>
      </c>
      <c r="I101" s="140">
        <v>15</v>
      </c>
      <c r="J101" s="140">
        <v>16</v>
      </c>
      <c r="K101" s="140">
        <v>17</v>
      </c>
      <c r="M101" s="576" t="s">
        <v>67</v>
      </c>
      <c r="N101" s="151" t="s">
        <v>218</v>
      </c>
      <c r="O101" s="152">
        <v>11</v>
      </c>
      <c r="P101" s="152">
        <v>12</v>
      </c>
      <c r="Q101" s="152">
        <v>13</v>
      </c>
      <c r="R101" s="152">
        <v>14</v>
      </c>
      <c r="S101" s="152">
        <v>15</v>
      </c>
      <c r="T101" s="152">
        <v>16</v>
      </c>
      <c r="U101" s="152">
        <v>17</v>
      </c>
    </row>
    <row r="102" spans="2:22">
      <c r="B102" s="574"/>
      <c r="C102" s="574"/>
      <c r="D102" s="139">
        <v>13</v>
      </c>
      <c r="E102" s="159">
        <v>0</v>
      </c>
      <c r="F102" s="159">
        <v>0</v>
      </c>
      <c r="G102" s="160"/>
      <c r="H102" s="160"/>
      <c r="I102" s="160"/>
      <c r="J102" s="160"/>
      <c r="K102" s="160"/>
      <c r="M102" s="574"/>
      <c r="N102" s="139">
        <v>13</v>
      </c>
      <c r="O102" s="192">
        <v>0</v>
      </c>
      <c r="P102" s="192">
        <v>0</v>
      </c>
      <c r="Q102" s="142"/>
      <c r="R102" s="142"/>
      <c r="S102" s="142"/>
      <c r="T102" s="142"/>
      <c r="U102" s="142"/>
    </row>
    <row r="103" spans="2:22">
      <c r="B103" s="574"/>
      <c r="C103" s="574"/>
      <c r="D103" s="139">
        <v>14</v>
      </c>
      <c r="E103" s="156">
        <v>10.998500000000002</v>
      </c>
      <c r="F103" s="156">
        <v>1.9552</v>
      </c>
      <c r="G103" s="156">
        <v>31.728400000000004</v>
      </c>
      <c r="H103" s="157"/>
      <c r="I103" s="158"/>
      <c r="J103" s="158"/>
      <c r="K103" s="158"/>
      <c r="M103" s="574"/>
      <c r="N103" s="139">
        <v>14</v>
      </c>
      <c r="O103" s="147">
        <v>2.971131924003211</v>
      </c>
      <c r="P103" s="147">
        <v>5.1532835515548303</v>
      </c>
      <c r="Q103" s="147">
        <v>2.9699040677977093</v>
      </c>
      <c r="R103" s="149"/>
      <c r="S103" s="150"/>
      <c r="T103" s="146"/>
      <c r="U103" s="146"/>
    </row>
    <row r="104" spans="2:22">
      <c r="B104" s="574"/>
      <c r="C104" s="574"/>
      <c r="D104" s="139">
        <v>15</v>
      </c>
      <c r="E104" s="156">
        <v>18.763399999999997</v>
      </c>
      <c r="F104" s="156">
        <v>15.1374</v>
      </c>
      <c r="G104" s="156">
        <v>45.32309999999999</v>
      </c>
      <c r="H104" s="156">
        <v>151.70670000000001</v>
      </c>
      <c r="I104" s="157"/>
      <c r="J104" s="158"/>
      <c r="K104" s="158"/>
      <c r="M104" s="574"/>
      <c r="N104" s="139">
        <v>15</v>
      </c>
      <c r="O104" s="147">
        <v>3.5647110864768656</v>
      </c>
      <c r="P104" s="147">
        <v>3.069179647759853</v>
      </c>
      <c r="Q104" s="147">
        <v>3.5396872676405624</v>
      </c>
      <c r="R104" s="147">
        <v>2.0039444533431934</v>
      </c>
      <c r="S104" s="149"/>
      <c r="T104" s="150"/>
      <c r="U104" s="146"/>
    </row>
    <row r="105" spans="2:22">
      <c r="B105" s="574"/>
      <c r="C105" s="574"/>
      <c r="D105" s="139">
        <v>16</v>
      </c>
      <c r="E105" s="156">
        <v>21.708799999999993</v>
      </c>
      <c r="F105" s="156">
        <v>19.217599999999997</v>
      </c>
      <c r="G105" s="156">
        <v>66.337900000000033</v>
      </c>
      <c r="H105" s="156">
        <v>151.05799999999988</v>
      </c>
      <c r="I105" s="156">
        <v>276.13349999999986</v>
      </c>
      <c r="J105" s="157"/>
      <c r="K105" s="158"/>
      <c r="M105" s="574"/>
      <c r="N105" s="139">
        <v>16</v>
      </c>
      <c r="O105" s="147">
        <v>2.34765625</v>
      </c>
      <c r="P105" s="147">
        <v>2.8138685371742569</v>
      </c>
      <c r="Q105" s="148">
        <v>3.5236000000000001</v>
      </c>
      <c r="R105" s="147">
        <v>3.0713621749999844</v>
      </c>
      <c r="S105" s="147">
        <v>2.1142237359827782</v>
      </c>
      <c r="T105" s="149"/>
      <c r="U105" s="150"/>
    </row>
    <row r="106" spans="2:22">
      <c r="B106" s="574"/>
      <c r="C106" s="574"/>
      <c r="D106" s="139">
        <v>17</v>
      </c>
      <c r="E106" s="156">
        <v>10.782500000000002</v>
      </c>
      <c r="F106" s="156">
        <v>15.773300000000003</v>
      </c>
      <c r="G106" s="156">
        <v>50.103700000000003</v>
      </c>
      <c r="H106" s="156">
        <v>109.56989999999998</v>
      </c>
      <c r="I106" s="156">
        <v>200.90760000000006</v>
      </c>
      <c r="J106" s="156">
        <v>307.10669999999999</v>
      </c>
      <c r="K106" s="157"/>
      <c r="M106" s="574"/>
      <c r="N106" s="139">
        <v>17</v>
      </c>
      <c r="O106" s="147">
        <v>2.9449663807094826</v>
      </c>
      <c r="P106" s="147">
        <v>4.4477629918913602</v>
      </c>
      <c r="Q106" s="147">
        <v>4.2619906314304137</v>
      </c>
      <c r="R106" s="147">
        <v>3.7551389569580693</v>
      </c>
      <c r="S106" s="147">
        <v>2.9302245108999876</v>
      </c>
      <c r="T106" s="147">
        <v>1.7268651182266337</v>
      </c>
      <c r="U106" s="149"/>
    </row>
    <row r="107" spans="2:22">
      <c r="B107" s="574"/>
      <c r="C107" s="574"/>
      <c r="D107" s="151">
        <v>18</v>
      </c>
      <c r="E107" s="156">
        <v>11.081899999999999</v>
      </c>
      <c r="F107" s="156">
        <v>6.4066000000000001</v>
      </c>
      <c r="G107" s="156">
        <v>17.641100000000002</v>
      </c>
      <c r="H107" s="156">
        <v>60.3048</v>
      </c>
      <c r="I107" s="156">
        <v>131.07979999999995</v>
      </c>
      <c r="J107" s="156">
        <v>120.68120000000003</v>
      </c>
      <c r="K107" s="156">
        <v>177.89680000000001</v>
      </c>
      <c r="M107" s="574"/>
      <c r="N107" s="151">
        <v>18</v>
      </c>
      <c r="O107" s="147">
        <v>4.9029679026159769</v>
      </c>
      <c r="P107" s="147">
        <v>4.7421877438891142</v>
      </c>
      <c r="Q107" s="147">
        <v>4.1707603267369953</v>
      </c>
      <c r="R107" s="147">
        <v>4.357301574667356</v>
      </c>
      <c r="S107" s="147">
        <v>2.8728084927959627</v>
      </c>
      <c r="T107" s="147">
        <v>2.66151977275665</v>
      </c>
      <c r="U107" s="147">
        <v>1.4403907209123499</v>
      </c>
    </row>
    <row r="108" spans="2:22">
      <c r="O108" s="170"/>
      <c r="P108" s="170"/>
      <c r="Q108" s="170"/>
      <c r="R108" s="170"/>
      <c r="S108" s="170"/>
      <c r="T108" s="170"/>
      <c r="U108" s="170"/>
    </row>
    <row r="110" spans="2:22" ht="16.8">
      <c r="H110" s="577"/>
      <c r="I110" s="577"/>
      <c r="J110" s="504" t="s">
        <v>99</v>
      </c>
      <c r="K110" s="577"/>
      <c r="L110" s="577"/>
      <c r="N110" s="171"/>
      <c r="O110" s="171"/>
      <c r="P110" s="171"/>
      <c r="Q110" s="171"/>
      <c r="R110" s="171"/>
      <c r="S110" s="171"/>
      <c r="T110" s="171"/>
    </row>
    <row r="111" spans="2:22" ht="17.25" customHeight="1">
      <c r="H111" s="505" t="s">
        <v>124</v>
      </c>
      <c r="I111" s="577"/>
      <c r="J111" s="577"/>
      <c r="K111" s="577"/>
      <c r="L111" s="577"/>
      <c r="N111" s="579"/>
      <c r="O111" s="579" t="s">
        <v>112</v>
      </c>
      <c r="P111" s="579"/>
      <c r="Q111" s="579"/>
      <c r="R111" s="579"/>
      <c r="S111" s="579"/>
      <c r="T111" s="579"/>
      <c r="U111" s="306"/>
      <c r="V111" s="306"/>
    </row>
    <row r="112" spans="2:22" ht="15" customHeight="1">
      <c r="H112" s="173"/>
      <c r="I112" s="173"/>
      <c r="J112" s="173"/>
      <c r="K112" s="173"/>
      <c r="L112" s="173"/>
      <c r="N112" s="171"/>
      <c r="O112" s="171"/>
      <c r="P112" s="171"/>
      <c r="Q112" s="171"/>
      <c r="R112" s="171"/>
      <c r="S112" s="171"/>
      <c r="T112" s="171"/>
    </row>
    <row r="113" spans="2:20" ht="16.8">
      <c r="H113" s="172"/>
      <c r="I113" s="174" t="s">
        <v>4</v>
      </c>
      <c r="J113" s="174" t="s">
        <v>5</v>
      </c>
      <c r="K113" s="174" t="s">
        <v>6</v>
      </c>
      <c r="L113" s="173"/>
      <c r="N113" s="171"/>
      <c r="O113" s="104">
        <v>0.14000000000000001</v>
      </c>
      <c r="P113" s="171"/>
      <c r="Q113" s="171"/>
      <c r="R113" s="171"/>
      <c r="S113" s="171"/>
      <c r="T113" s="171"/>
    </row>
    <row r="114" spans="2:20" ht="16.8">
      <c r="H114" s="175" t="s">
        <v>65</v>
      </c>
      <c r="I114" s="437">
        <f>ppy_calc!BJ9</f>
        <v>1.0379791514103585</v>
      </c>
      <c r="J114" s="437">
        <f>ppy_calc!BK9</f>
        <v>1.2608356940904364</v>
      </c>
      <c r="K114" s="437">
        <f>ppy_calc!BL9</f>
        <v>1.2608356940904364</v>
      </c>
      <c r="L114" s="173"/>
      <c r="N114" s="171"/>
      <c r="O114" s="171"/>
      <c r="P114" s="171"/>
      <c r="Q114" s="171"/>
      <c r="R114" s="171"/>
      <c r="S114" s="171"/>
      <c r="T114" s="171"/>
    </row>
    <row r="115" spans="2:20" ht="16.8">
      <c r="H115" s="176" t="s">
        <v>95</v>
      </c>
      <c r="I115" s="437">
        <f>ppy_calc!BJ18</f>
        <v>1.3155901787028694</v>
      </c>
      <c r="J115" s="437">
        <f>ppy_calc!BK18</f>
        <v>1.3197542970220506</v>
      </c>
      <c r="K115" s="437">
        <f>ppy_calc!BL18</f>
        <v>1.3197542970220506</v>
      </c>
      <c r="L115" s="173"/>
    </row>
    <row r="116" spans="2:20" ht="16.8">
      <c r="H116" s="177" t="s">
        <v>67</v>
      </c>
      <c r="I116" s="437">
        <f>ppy_calc!BJ27</f>
        <v>1.3784237923041542</v>
      </c>
      <c r="J116" s="437">
        <f>ppy_calc!BK27</f>
        <v>1.3082975480300059</v>
      </c>
      <c r="K116" s="437">
        <f>ppy_calc!BL27</f>
        <v>1.3082975480300059</v>
      </c>
      <c r="L116" s="173"/>
    </row>
    <row r="117" spans="2:20">
      <c r="H117" s="173"/>
      <c r="I117" s="173"/>
      <c r="J117" s="173"/>
      <c r="K117" s="173"/>
      <c r="L117" s="173"/>
    </row>
    <row r="118" spans="2:20">
      <c r="H118" s="578"/>
      <c r="I118" s="578"/>
      <c r="J118" s="578"/>
      <c r="K118" s="578"/>
      <c r="L118" s="578"/>
    </row>
    <row r="123" spans="2:20" ht="24.6">
      <c r="B123" s="54" t="s">
        <v>130</v>
      </c>
      <c r="C123" s="54"/>
    </row>
    <row r="124" spans="2:20" ht="24.6">
      <c r="C124" s="54"/>
    </row>
    <row r="125" spans="2:20" ht="24.6">
      <c r="C125" s="54"/>
    </row>
    <row r="126" spans="2:20" ht="21.75" customHeight="1">
      <c r="C126" s="54"/>
      <c r="E126" s="139"/>
      <c r="F126" s="139"/>
      <c r="G126" s="139"/>
      <c r="H126" s="139"/>
      <c r="I126" s="139"/>
      <c r="J126" s="139"/>
      <c r="K126" s="580" t="s">
        <v>219</v>
      </c>
      <c r="L126" s="139"/>
      <c r="M126" s="139"/>
      <c r="N126" s="139"/>
      <c r="O126" s="139"/>
      <c r="P126" s="139"/>
      <c r="Q126" s="139"/>
    </row>
    <row r="127" spans="2:20" ht="18" customHeight="1">
      <c r="C127" s="54"/>
      <c r="E127" s="139"/>
      <c r="F127" s="139"/>
      <c r="G127" s="139"/>
      <c r="H127" s="139"/>
      <c r="I127" s="139"/>
      <c r="J127" s="139"/>
      <c r="K127" s="562" t="s">
        <v>220</v>
      </c>
      <c r="L127" s="139"/>
      <c r="M127" s="139"/>
      <c r="N127" s="139"/>
      <c r="O127" s="139"/>
      <c r="P127" s="139"/>
      <c r="Q127" s="139"/>
    </row>
    <row r="128" spans="2:20" s="516" customFormat="1" ht="24" customHeight="1">
      <c r="C128" s="79"/>
      <c r="E128" s="523"/>
      <c r="F128" s="523"/>
      <c r="G128" s="523"/>
      <c r="H128" s="523"/>
      <c r="I128" s="523"/>
      <c r="J128" s="523"/>
      <c r="K128" s="530" t="s">
        <v>221</v>
      </c>
      <c r="L128" s="523"/>
      <c r="M128" s="523"/>
      <c r="N128" s="523"/>
      <c r="O128" s="523"/>
      <c r="P128" s="523"/>
      <c r="Q128" s="523"/>
    </row>
    <row r="129" spans="3:17" ht="24.6">
      <c r="C129" s="54"/>
      <c r="E129" s="139"/>
      <c r="F129" s="139"/>
      <c r="G129" s="139"/>
      <c r="H129" s="139"/>
      <c r="I129" s="139"/>
      <c r="J129" s="139"/>
      <c r="K129" s="509" t="s">
        <v>222</v>
      </c>
      <c r="L129" s="139"/>
      <c r="M129" s="139"/>
      <c r="N129" s="139"/>
      <c r="O129" s="139"/>
      <c r="P129" s="139"/>
      <c r="Q129" s="139"/>
    </row>
    <row r="130" spans="3:17" ht="24.6">
      <c r="C130" s="54"/>
      <c r="E130" s="139"/>
      <c r="F130" s="139"/>
      <c r="G130" s="139"/>
      <c r="H130" s="139"/>
      <c r="I130" s="139"/>
      <c r="J130" s="139"/>
      <c r="K130" s="581" t="s">
        <v>223</v>
      </c>
      <c r="L130" s="139"/>
      <c r="M130" s="139"/>
      <c r="N130" s="139"/>
      <c r="O130" s="139"/>
      <c r="P130" s="139"/>
      <c r="Q130" s="139"/>
    </row>
    <row r="131" spans="3:17" ht="24.6">
      <c r="C131" s="54"/>
      <c r="E131" s="139"/>
      <c r="F131" s="139"/>
      <c r="G131" s="139"/>
      <c r="H131" s="139"/>
      <c r="I131" s="139"/>
      <c r="J131" s="139"/>
      <c r="K131" s="581" t="s">
        <v>224</v>
      </c>
      <c r="L131" s="139"/>
      <c r="M131" s="139"/>
      <c r="N131" s="139"/>
      <c r="O131" s="139"/>
      <c r="P131" s="139"/>
      <c r="Q131" s="139"/>
    </row>
    <row r="132" spans="3:17" ht="24.6">
      <c r="C132" s="54"/>
      <c r="E132" s="139"/>
      <c r="F132" s="139"/>
      <c r="G132" s="139"/>
      <c r="H132" s="139"/>
      <c r="I132" s="139"/>
      <c r="J132" s="139"/>
      <c r="K132" s="581" t="s">
        <v>225</v>
      </c>
      <c r="L132" s="139"/>
      <c r="M132" s="139"/>
      <c r="N132" s="139"/>
      <c r="O132" s="139"/>
      <c r="P132" s="139"/>
      <c r="Q132" s="139"/>
    </row>
    <row r="133" spans="3:17" ht="36.75" customHeight="1">
      <c r="C133" s="54"/>
      <c r="E133" s="139"/>
      <c r="F133" s="139"/>
      <c r="G133" s="523"/>
      <c r="H133" s="139"/>
      <c r="I133" s="139"/>
      <c r="J133" s="139"/>
      <c r="K133" s="582" t="s">
        <v>226</v>
      </c>
      <c r="L133" s="139"/>
      <c r="M133" s="139"/>
      <c r="N133" s="139"/>
      <c r="O133" s="139"/>
      <c r="P133" s="139"/>
      <c r="Q133" s="139"/>
    </row>
    <row r="134" spans="3:17" ht="38.25" customHeight="1">
      <c r="C134" s="54"/>
      <c r="E134" s="139"/>
      <c r="F134" s="139"/>
      <c r="G134" s="139"/>
      <c r="H134" s="139"/>
      <c r="I134" s="139"/>
      <c r="J134" s="139"/>
      <c r="K134" s="509" t="s">
        <v>227</v>
      </c>
      <c r="L134" s="139"/>
      <c r="M134" s="139"/>
      <c r="N134" s="139"/>
      <c r="O134" s="139"/>
      <c r="P134" s="139"/>
      <c r="Q134" s="139"/>
    </row>
    <row r="135" spans="3:17" ht="24.6">
      <c r="C135" s="54"/>
      <c r="D135" s="61"/>
      <c r="E135" s="570"/>
      <c r="F135" s="570"/>
      <c r="G135" s="570"/>
      <c r="H135" s="570"/>
      <c r="I135" s="570"/>
      <c r="J135" s="139"/>
      <c r="K135" s="509" t="s">
        <v>228</v>
      </c>
      <c r="L135" s="139"/>
      <c r="M135" s="139"/>
      <c r="N135" s="139"/>
      <c r="O135" s="139"/>
      <c r="P135" s="139"/>
      <c r="Q135" s="139"/>
    </row>
    <row r="136" spans="3:17" ht="16.8">
      <c r="C136" s="61"/>
      <c r="D136" s="61"/>
      <c r="E136" s="570"/>
      <c r="F136" s="570"/>
      <c r="G136" s="570"/>
      <c r="H136" s="570"/>
      <c r="I136" s="570"/>
      <c r="J136" s="139"/>
      <c r="K136" s="562" t="s">
        <v>229</v>
      </c>
      <c r="L136" s="139"/>
      <c r="M136" s="139"/>
      <c r="N136" s="139"/>
      <c r="O136" s="139"/>
      <c r="P136" s="139"/>
      <c r="Q136" s="139"/>
    </row>
    <row r="137" spans="3:17" ht="27" customHeight="1">
      <c r="C137" s="61"/>
      <c r="D137" s="61"/>
      <c r="E137" s="570"/>
      <c r="F137" s="570"/>
      <c r="G137" s="570"/>
      <c r="H137" s="570"/>
      <c r="I137" s="570"/>
      <c r="J137" s="139"/>
      <c r="K137" s="509" t="s">
        <v>230</v>
      </c>
      <c r="L137" s="139"/>
      <c r="M137" s="139"/>
      <c r="N137" s="139"/>
      <c r="O137" s="139"/>
      <c r="P137" s="139"/>
      <c r="Q137" s="139"/>
    </row>
    <row r="138" spans="3:17">
      <c r="C138" s="61"/>
      <c r="D138" s="61"/>
      <c r="E138" s="61"/>
      <c r="F138" s="61"/>
      <c r="G138" s="61"/>
      <c r="H138" s="61"/>
      <c r="I138" s="61"/>
    </row>
    <row r="139" spans="3:17">
      <c r="C139" s="61"/>
      <c r="D139" s="61"/>
      <c r="E139" s="61"/>
      <c r="F139" s="61"/>
      <c r="G139" s="61"/>
      <c r="H139" s="61"/>
      <c r="I139" s="61"/>
    </row>
    <row r="140" spans="3:17">
      <c r="C140" s="61"/>
    </row>
    <row r="141" spans="3:17" ht="22.5" customHeight="1">
      <c r="D141" s="584" t="s">
        <v>198</v>
      </c>
      <c r="E141" s="583"/>
      <c r="F141" s="583"/>
      <c r="G141" s="90"/>
      <c r="H141" s="91"/>
      <c r="I141" s="90"/>
      <c r="J141" s="90"/>
      <c r="K141" s="90"/>
      <c r="L141" s="90"/>
      <c r="M141" s="90"/>
      <c r="N141" s="90"/>
      <c r="O141" s="90"/>
      <c r="P141" s="90"/>
      <c r="Q141" s="90"/>
    </row>
    <row r="143" spans="3:17">
      <c r="G143" s="58"/>
      <c r="H143" s="58" t="s">
        <v>130</v>
      </c>
      <c r="I143" s="58"/>
    </row>
    <row r="144" spans="3:17">
      <c r="E144" s="187"/>
      <c r="F144" s="178" t="s">
        <v>92</v>
      </c>
      <c r="G144" s="178"/>
      <c r="H144" s="314">
        <v>0.58555999999999997</v>
      </c>
      <c r="I144" s="102"/>
    </row>
    <row r="145" spans="4:17">
      <c r="E145" s="187"/>
      <c r="F145" s="61"/>
      <c r="G145" s="78"/>
      <c r="H145" s="390"/>
      <c r="I145" s="102"/>
    </row>
    <row r="146" spans="4:17">
      <c r="E146" s="187"/>
      <c r="F146" s="178" t="s">
        <v>93</v>
      </c>
      <c r="G146" s="178"/>
      <c r="H146" s="314">
        <v>0.11638</v>
      </c>
      <c r="I146" s="102"/>
    </row>
    <row r="147" spans="4:17">
      <c r="G147" s="61"/>
      <c r="H147" s="390"/>
      <c r="I147" s="102"/>
    </row>
    <row r="148" spans="4:17">
      <c r="E148" s="85"/>
      <c r="F148" s="178" t="s">
        <v>84</v>
      </c>
      <c r="G148" s="178"/>
      <c r="H148" s="314">
        <v>0.39510000000000001</v>
      </c>
      <c r="I148" s="102"/>
    </row>
    <row r="149" spans="4:17">
      <c r="E149" s="80"/>
      <c r="G149" s="61"/>
      <c r="H149" s="390"/>
      <c r="I149" s="102"/>
    </row>
    <row r="150" spans="4:17">
      <c r="E150" s="85"/>
      <c r="F150" s="178" t="s">
        <v>83</v>
      </c>
      <c r="G150" s="178"/>
      <c r="H150" s="314">
        <v>0.27660000000000001</v>
      </c>
      <c r="I150" s="102"/>
    </row>
    <row r="151" spans="4:17">
      <c r="H151" s="316"/>
    </row>
    <row r="152" spans="4:17">
      <c r="H152" s="316"/>
    </row>
    <row r="153" spans="4:17" ht="22.5" customHeight="1">
      <c r="D153" s="584" t="s">
        <v>50</v>
      </c>
      <c r="E153" s="583"/>
      <c r="F153" s="583"/>
      <c r="G153" s="90"/>
      <c r="H153" s="391"/>
      <c r="I153" s="90"/>
      <c r="J153" s="90"/>
      <c r="K153" s="90"/>
      <c r="L153" s="90"/>
      <c r="M153" s="90"/>
      <c r="N153" s="90"/>
      <c r="O153" s="90"/>
      <c r="P153" s="90"/>
      <c r="Q153" s="90"/>
    </row>
    <row r="154" spans="4:17">
      <c r="D154" s="61"/>
      <c r="E154" s="61"/>
      <c r="F154" s="61"/>
      <c r="G154" s="61"/>
      <c r="H154" s="317"/>
      <c r="I154" s="61"/>
      <c r="J154" s="61"/>
      <c r="K154" s="61"/>
      <c r="L154" s="61"/>
      <c r="M154" s="61"/>
      <c r="N154" s="61"/>
      <c r="O154" s="61"/>
      <c r="P154" s="61"/>
      <c r="Q154" s="61"/>
    </row>
    <row r="155" spans="4:17">
      <c r="G155" s="58"/>
      <c r="H155" s="507" t="s">
        <v>130</v>
      </c>
      <c r="I155" s="102"/>
    </row>
    <row r="156" spans="4:17">
      <c r="E156" s="187"/>
      <c r="F156" s="178" t="s">
        <v>92</v>
      </c>
      <c r="G156" s="178"/>
      <c r="H156" s="314">
        <v>0.41681000000000001</v>
      </c>
      <c r="I156" s="167"/>
    </row>
    <row r="157" spans="4:17">
      <c r="E157" s="187"/>
      <c r="F157" s="61"/>
      <c r="G157" s="78"/>
      <c r="H157" s="390"/>
      <c r="I157" s="102"/>
    </row>
    <row r="158" spans="4:17">
      <c r="E158" s="187"/>
      <c r="F158" s="178" t="s">
        <v>93</v>
      </c>
      <c r="G158" s="178"/>
      <c r="H158" s="314">
        <v>7.9039999999999999E-2</v>
      </c>
      <c r="I158" s="102"/>
    </row>
    <row r="159" spans="4:17">
      <c r="G159" s="61"/>
      <c r="H159" s="390"/>
      <c r="I159" s="102"/>
    </row>
    <row r="160" spans="4:17">
      <c r="E160" s="85"/>
      <c r="F160" s="178" t="s">
        <v>84</v>
      </c>
      <c r="G160" s="178"/>
      <c r="H160" s="314">
        <v>0.17319999999999999</v>
      </c>
      <c r="I160" s="102"/>
    </row>
    <row r="161" spans="4:17">
      <c r="E161" s="80"/>
      <c r="G161" s="61"/>
      <c r="H161" s="390"/>
      <c r="I161" s="102"/>
    </row>
    <row r="162" spans="4:17">
      <c r="E162" s="85"/>
      <c r="F162" s="178" t="s">
        <v>83</v>
      </c>
      <c r="G162" s="178"/>
      <c r="H162" s="314">
        <v>0.17319999999999999</v>
      </c>
      <c r="I162" s="102"/>
    </row>
    <row r="163" spans="4:17">
      <c r="E163" s="179"/>
      <c r="F163" s="102"/>
      <c r="G163" s="102"/>
      <c r="H163" s="392"/>
      <c r="I163" s="102"/>
    </row>
    <row r="164" spans="4:17">
      <c r="H164" s="316"/>
    </row>
    <row r="165" spans="4:17" ht="18" customHeight="1">
      <c r="D165" s="532" t="s">
        <v>39</v>
      </c>
      <c r="E165" s="583"/>
      <c r="F165" s="583"/>
      <c r="G165" s="90"/>
      <c r="H165" s="391"/>
      <c r="I165" s="90"/>
      <c r="J165" s="90"/>
      <c r="K165" s="90"/>
      <c r="L165" s="90"/>
      <c r="M165" s="90"/>
      <c r="N165" s="90"/>
      <c r="O165" s="90"/>
      <c r="P165" s="90"/>
      <c r="Q165" s="90"/>
    </row>
    <row r="166" spans="4:17">
      <c r="D166" s="61"/>
      <c r="E166" s="61"/>
      <c r="F166" s="61"/>
      <c r="G166" s="61"/>
      <c r="H166" s="317"/>
      <c r="I166" s="61"/>
      <c r="J166" s="61"/>
      <c r="K166" s="61"/>
      <c r="L166" s="61"/>
      <c r="M166" s="61"/>
      <c r="N166" s="61"/>
      <c r="O166" s="61"/>
      <c r="P166" s="61"/>
      <c r="Q166" s="61"/>
    </row>
    <row r="167" spans="4:17">
      <c r="G167" s="58"/>
      <c r="H167" s="507" t="s">
        <v>130</v>
      </c>
      <c r="I167" s="167"/>
    </row>
    <row r="168" spans="4:17">
      <c r="E168" s="187"/>
      <c r="F168" s="178" t="s">
        <v>84</v>
      </c>
      <c r="G168" s="178"/>
      <c r="H168" s="314">
        <v>6.5799999999999997E-2</v>
      </c>
      <c r="P168" s="102"/>
    </row>
    <row r="169" spans="4:17">
      <c r="E169" s="187"/>
      <c r="G169" s="61"/>
      <c r="H169" s="390"/>
      <c r="P169" s="102"/>
    </row>
    <row r="170" spans="4:17">
      <c r="E170" s="187"/>
      <c r="F170" s="178" t="s">
        <v>83</v>
      </c>
      <c r="G170" s="178"/>
      <c r="H170" s="314">
        <v>5.1999999999999998E-3</v>
      </c>
      <c r="P170" s="102"/>
    </row>
    <row r="171" spans="4:17">
      <c r="I171" s="102"/>
    </row>
    <row r="172" spans="4:17">
      <c r="E172" s="85"/>
      <c r="I172" s="102"/>
    </row>
    <row r="173" spans="4:17">
      <c r="E173" s="80"/>
      <c r="I173" s="102"/>
    </row>
    <row r="174" spans="4:17">
      <c r="E174" s="85"/>
      <c r="I174" s="102"/>
    </row>
    <row r="195" spans="2:19" ht="34.200000000000003" customHeight="1">
      <c r="B195" s="54" t="s">
        <v>152</v>
      </c>
    </row>
    <row r="197" spans="2:19">
      <c r="C197" s="139"/>
      <c r="D197" s="139"/>
      <c r="E197" s="139"/>
      <c r="F197" s="139"/>
      <c r="G197" s="139"/>
      <c r="H197" s="139"/>
      <c r="I197" s="139"/>
      <c r="J197" s="139"/>
      <c r="K197" s="139"/>
      <c r="L197" s="139"/>
      <c r="M197" s="139"/>
      <c r="N197" s="139"/>
      <c r="O197" s="139"/>
      <c r="P197" s="139"/>
      <c r="Q197" s="139"/>
      <c r="R197" s="139"/>
      <c r="S197" s="139"/>
    </row>
    <row r="198" spans="2:19" ht="16.8">
      <c r="C198" s="139"/>
      <c r="D198" s="139"/>
      <c r="E198" s="139"/>
      <c r="F198" s="139"/>
      <c r="G198" s="139"/>
      <c r="H198" s="139"/>
      <c r="I198" s="139"/>
      <c r="J198" s="139"/>
      <c r="K198" s="585" t="s">
        <v>231</v>
      </c>
      <c r="L198" s="139"/>
      <c r="M198" s="139"/>
      <c r="N198" s="139"/>
      <c r="O198" s="139"/>
      <c r="P198" s="139"/>
      <c r="Q198" s="139"/>
      <c r="R198" s="139"/>
      <c r="S198" s="139"/>
    </row>
    <row r="199" spans="2:19">
      <c r="C199" s="139"/>
      <c r="D199" s="139"/>
      <c r="E199" s="139"/>
      <c r="F199" s="139"/>
      <c r="G199" s="139"/>
      <c r="H199" s="139"/>
      <c r="I199" s="139"/>
      <c r="J199" s="139"/>
      <c r="K199" s="140"/>
      <c r="L199" s="139"/>
      <c r="M199" s="139"/>
      <c r="N199" s="139"/>
      <c r="O199" s="139"/>
      <c r="P199" s="139"/>
      <c r="Q199" s="139"/>
      <c r="R199" s="139"/>
      <c r="S199" s="139"/>
    </row>
    <row r="200" spans="2:19" ht="16.8">
      <c r="C200" s="139"/>
      <c r="D200" s="139"/>
      <c r="E200" s="139"/>
      <c r="F200" s="139"/>
      <c r="G200" s="139"/>
      <c r="H200" s="139"/>
      <c r="I200" s="139"/>
      <c r="J200" s="139"/>
      <c r="K200" s="509" t="s">
        <v>232</v>
      </c>
      <c r="L200" s="139"/>
      <c r="M200" s="139"/>
      <c r="N200" s="139"/>
      <c r="O200" s="139"/>
      <c r="P200" s="139"/>
      <c r="Q200" s="139"/>
      <c r="R200" s="139"/>
      <c r="S200" s="139"/>
    </row>
    <row r="201" spans="2:19">
      <c r="C201" s="139"/>
      <c r="D201" s="139"/>
      <c r="E201" s="139"/>
      <c r="F201" s="139"/>
      <c r="G201" s="139"/>
      <c r="H201" s="139"/>
      <c r="I201" s="139"/>
      <c r="J201" s="139"/>
      <c r="K201" s="140"/>
      <c r="L201" s="139"/>
      <c r="M201" s="139"/>
      <c r="N201" s="139"/>
      <c r="O201" s="139"/>
      <c r="P201" s="139"/>
      <c r="Q201" s="139"/>
      <c r="R201" s="139"/>
      <c r="S201" s="139"/>
    </row>
    <row r="202" spans="2:19" ht="16.8">
      <c r="C202" s="139"/>
      <c r="D202" s="139"/>
      <c r="E202" s="139"/>
      <c r="F202" s="139"/>
      <c r="G202" s="139"/>
      <c r="H202" s="139"/>
      <c r="I202" s="139"/>
      <c r="J202" s="139"/>
      <c r="K202" s="509" t="s">
        <v>233</v>
      </c>
      <c r="L202" s="139"/>
      <c r="M202" s="139"/>
      <c r="N202" s="139"/>
      <c r="O202" s="139"/>
      <c r="P202" s="139"/>
      <c r="Q202" s="139"/>
      <c r="R202" s="139"/>
      <c r="S202" s="139"/>
    </row>
    <row r="203" spans="2:19" ht="16.8">
      <c r="C203" s="139"/>
      <c r="D203" s="139"/>
      <c r="E203" s="139"/>
      <c r="F203" s="139"/>
      <c r="G203" s="586" t="s">
        <v>234</v>
      </c>
      <c r="H203" s="139"/>
      <c r="I203" s="139"/>
      <c r="J203" s="139"/>
      <c r="K203" s="139"/>
      <c r="L203" s="139"/>
      <c r="M203" s="139"/>
      <c r="N203" s="139"/>
      <c r="O203" s="139"/>
      <c r="P203" s="139"/>
      <c r="Q203" s="139"/>
      <c r="R203" s="139"/>
      <c r="S203" s="139"/>
    </row>
    <row r="204" spans="2:19" ht="16.8">
      <c r="C204" s="139"/>
      <c r="D204" s="139"/>
      <c r="E204" s="139"/>
      <c r="F204" s="139"/>
      <c r="G204" s="586" t="s">
        <v>235</v>
      </c>
      <c r="H204" s="139"/>
      <c r="I204" s="139"/>
      <c r="J204" s="139"/>
      <c r="K204" s="139"/>
      <c r="L204" s="587"/>
      <c r="M204" s="139"/>
      <c r="N204" s="139"/>
      <c r="O204" s="139"/>
      <c r="P204" s="139"/>
      <c r="Q204" s="139"/>
      <c r="R204" s="139"/>
      <c r="S204" s="139"/>
    </row>
    <row r="205" spans="2:19">
      <c r="C205" s="139"/>
      <c r="D205" s="139"/>
      <c r="E205" s="139"/>
      <c r="F205" s="139"/>
      <c r="G205" s="139"/>
      <c r="H205" s="139"/>
      <c r="I205" s="139"/>
      <c r="J205" s="139"/>
      <c r="K205" s="139"/>
      <c r="L205" s="139"/>
      <c r="M205" s="139"/>
      <c r="N205" s="139"/>
      <c r="O205" s="139"/>
      <c r="P205" s="139"/>
      <c r="Q205" s="139"/>
      <c r="R205" s="139"/>
      <c r="S205" s="139"/>
    </row>
    <row r="206" spans="2:19" ht="16.8">
      <c r="C206" s="139"/>
      <c r="D206" s="139"/>
      <c r="E206" s="139"/>
      <c r="F206" s="139"/>
      <c r="G206" s="139"/>
      <c r="H206" s="139"/>
      <c r="I206" s="139"/>
      <c r="J206" s="139"/>
      <c r="K206" s="509" t="s">
        <v>236</v>
      </c>
      <c r="L206" s="139"/>
      <c r="M206" s="139"/>
      <c r="N206" s="139"/>
      <c r="O206" s="139"/>
      <c r="P206" s="139"/>
      <c r="Q206" s="139"/>
      <c r="R206" s="139"/>
      <c r="S206" s="139"/>
    </row>
    <row r="207" spans="2:19" ht="16.8">
      <c r="C207" s="139"/>
      <c r="D207" s="139"/>
      <c r="E207" s="139"/>
      <c r="F207" s="139"/>
      <c r="G207" s="588" t="s">
        <v>234</v>
      </c>
      <c r="H207" s="139"/>
      <c r="I207" s="139"/>
      <c r="J207" s="139"/>
      <c r="K207" s="139"/>
      <c r="L207" s="139"/>
      <c r="M207" s="139"/>
      <c r="N207" s="139"/>
      <c r="O207" s="139"/>
      <c r="P207" s="139"/>
      <c r="Q207" s="139"/>
      <c r="R207" s="139"/>
      <c r="S207" s="139"/>
    </row>
    <row r="208" spans="2:19" ht="16.8">
      <c r="C208" s="139"/>
      <c r="D208" s="139"/>
      <c r="E208" s="139"/>
      <c r="F208" s="139"/>
      <c r="G208" s="588" t="s">
        <v>237</v>
      </c>
      <c r="H208" s="139"/>
      <c r="I208" s="139"/>
      <c r="J208" s="139"/>
      <c r="K208" s="139"/>
      <c r="L208" s="139"/>
      <c r="M208" s="139"/>
      <c r="N208" s="139"/>
      <c r="O208" s="139"/>
      <c r="P208" s="139"/>
      <c r="Q208" s="139"/>
      <c r="R208" s="139"/>
      <c r="S208" s="139"/>
    </row>
    <row r="209" spans="3:23">
      <c r="C209" s="139"/>
      <c r="D209" s="139"/>
      <c r="E209" s="139"/>
      <c r="F209" s="139"/>
      <c r="G209" s="139"/>
      <c r="H209" s="139"/>
      <c r="I209" s="139"/>
      <c r="J209" s="139"/>
      <c r="K209" s="140"/>
      <c r="L209" s="139"/>
      <c r="M209" s="139"/>
      <c r="N209" s="139"/>
      <c r="O209" s="139"/>
      <c r="P209" s="139"/>
      <c r="Q209" s="139"/>
      <c r="R209" s="139"/>
      <c r="S209" s="139"/>
    </row>
    <row r="210" spans="3:23" ht="16.8">
      <c r="C210" s="139"/>
      <c r="D210" s="139"/>
      <c r="E210" s="139"/>
      <c r="F210" s="139"/>
      <c r="G210" s="139"/>
      <c r="H210" s="139"/>
      <c r="I210" s="139"/>
      <c r="J210" s="139"/>
      <c r="K210" s="509" t="s">
        <v>238</v>
      </c>
      <c r="L210" s="139"/>
      <c r="M210" s="139"/>
      <c r="N210" s="139"/>
      <c r="O210" s="139"/>
      <c r="P210" s="139"/>
      <c r="Q210" s="139"/>
      <c r="R210" s="139"/>
      <c r="S210" s="139"/>
    </row>
    <row r="211" spans="3:23">
      <c r="C211" s="139"/>
      <c r="D211" s="139"/>
      <c r="E211" s="139"/>
      <c r="F211" s="139"/>
      <c r="G211" s="139"/>
      <c r="H211" s="139"/>
      <c r="I211" s="139"/>
      <c r="J211" s="139"/>
      <c r="K211" s="140"/>
      <c r="L211" s="139"/>
      <c r="M211" s="139"/>
      <c r="N211" s="139"/>
      <c r="O211" s="139"/>
      <c r="P211" s="139"/>
      <c r="Q211" s="139"/>
      <c r="R211" s="139"/>
      <c r="S211" s="139"/>
    </row>
    <row r="212" spans="3:23" ht="16.8">
      <c r="C212" s="139"/>
      <c r="D212" s="139"/>
      <c r="E212" s="139"/>
      <c r="F212" s="139"/>
      <c r="G212" s="139"/>
      <c r="H212" s="139"/>
      <c r="I212" s="139"/>
      <c r="J212" s="139"/>
      <c r="K212" s="509" t="s">
        <v>239</v>
      </c>
      <c r="L212" s="139"/>
      <c r="M212" s="139"/>
      <c r="N212" s="139"/>
      <c r="O212" s="139"/>
      <c r="P212" s="139"/>
      <c r="Q212" s="139"/>
      <c r="R212" s="139"/>
      <c r="S212" s="139"/>
    </row>
    <row r="213" spans="3:23">
      <c r="C213" s="139"/>
      <c r="D213" s="139"/>
      <c r="E213" s="139"/>
      <c r="F213" s="139"/>
      <c r="G213" s="139"/>
      <c r="H213" s="139"/>
      <c r="I213" s="139"/>
      <c r="J213" s="139"/>
      <c r="K213" s="140"/>
      <c r="L213" s="139"/>
      <c r="M213" s="139"/>
      <c r="N213" s="139"/>
      <c r="O213" s="139"/>
      <c r="P213" s="139"/>
      <c r="Q213" s="139"/>
      <c r="R213" s="139"/>
      <c r="S213" s="139"/>
    </row>
    <row r="214" spans="3:23" ht="16.8">
      <c r="C214" s="139"/>
      <c r="D214" s="139"/>
      <c r="E214" s="139"/>
      <c r="F214" s="139"/>
      <c r="G214" s="139"/>
      <c r="H214" s="139"/>
      <c r="I214" s="139"/>
      <c r="J214" s="139"/>
      <c r="K214" s="509" t="s">
        <v>240</v>
      </c>
      <c r="L214" s="139"/>
      <c r="M214" s="139"/>
      <c r="N214" s="139"/>
      <c r="O214" s="139"/>
      <c r="P214" s="139"/>
      <c r="Q214" s="139"/>
      <c r="R214" s="139"/>
      <c r="S214" s="139"/>
    </row>
    <row r="215" spans="3:23">
      <c r="C215" s="139"/>
      <c r="D215" s="139"/>
      <c r="E215" s="139"/>
      <c r="F215" s="139"/>
      <c r="G215" s="139"/>
      <c r="H215" s="139"/>
      <c r="I215" s="139"/>
      <c r="J215" s="139"/>
      <c r="K215" s="139"/>
      <c r="L215" s="139"/>
      <c r="M215" s="139"/>
      <c r="N215" s="139"/>
      <c r="O215" s="139"/>
      <c r="P215" s="139"/>
      <c r="Q215" s="139"/>
      <c r="R215" s="139"/>
      <c r="S215" s="139"/>
    </row>
    <row r="218" spans="3:23">
      <c r="D218" s="61"/>
      <c r="E218" s="61"/>
      <c r="F218" s="61"/>
      <c r="G218" s="61"/>
      <c r="H218" s="61"/>
      <c r="I218" s="61"/>
    </row>
    <row r="220" spans="3:23" ht="22.5" customHeight="1">
      <c r="D220" s="584" t="s">
        <v>198</v>
      </c>
      <c r="E220" s="583"/>
      <c r="F220" s="583"/>
      <c r="G220" s="90"/>
      <c r="H220" s="91"/>
      <c r="I220" s="90"/>
      <c r="J220" s="90"/>
      <c r="K220" s="90"/>
      <c r="L220" s="90"/>
      <c r="M220" s="90"/>
      <c r="N220" s="90"/>
      <c r="O220" s="90"/>
      <c r="P220" s="90"/>
      <c r="Q220" s="90"/>
      <c r="R220" s="61"/>
      <c r="S220" s="61"/>
      <c r="T220" s="61"/>
      <c r="U220" s="61"/>
      <c r="V220" s="61"/>
      <c r="W220" s="61"/>
    </row>
    <row r="222" spans="3:23" ht="16.8">
      <c r="D222" s="53" t="s">
        <v>145</v>
      </c>
      <c r="K222" s="48" t="s">
        <v>85</v>
      </c>
    </row>
    <row r="224" spans="3:23">
      <c r="F224" s="100" t="s">
        <v>115</v>
      </c>
      <c r="G224" s="104">
        <v>0.52300000000000002</v>
      </c>
    </row>
    <row r="225" spans="4:15" ht="15" customHeight="1">
      <c r="F225" s="100"/>
      <c r="K225" s="639"/>
      <c r="L225" s="188" t="s">
        <v>86</v>
      </c>
      <c r="M225" s="97">
        <f>Diagnoses!G19/G226</f>
        <v>0</v>
      </c>
    </row>
    <row r="226" spans="4:15">
      <c r="F226" s="100" t="s">
        <v>116</v>
      </c>
      <c r="G226" s="313">
        <v>0.49</v>
      </c>
      <c r="K226" s="51"/>
      <c r="L226" s="498"/>
      <c r="M226" s="94"/>
    </row>
    <row r="227" spans="4:15" ht="15" customHeight="1">
      <c r="K227" s="638"/>
      <c r="L227" s="100" t="s">
        <v>87</v>
      </c>
      <c r="M227" s="97">
        <f>Diagnoses!G21/G226</f>
        <v>0</v>
      </c>
    </row>
    <row r="228" spans="4:15">
      <c r="K228" s="51"/>
      <c r="L228" s="498"/>
      <c r="M228" s="94"/>
    </row>
    <row r="229" spans="4:15" ht="15" customHeight="1">
      <c r="K229" s="638"/>
      <c r="L229" s="100" t="s">
        <v>88</v>
      </c>
      <c r="M229" s="97">
        <f>Diagnoses!G23/G224</f>
        <v>0</v>
      </c>
    </row>
    <row r="231" spans="4:15">
      <c r="L231" s="405" t="s">
        <v>148</v>
      </c>
    </row>
    <row r="234" spans="4:15" ht="16.8">
      <c r="D234" s="53" t="s">
        <v>146</v>
      </c>
    </row>
    <row r="236" spans="4:15">
      <c r="J236" s="68"/>
      <c r="K236" s="68"/>
      <c r="L236" s="68"/>
      <c r="M236" s="68"/>
      <c r="N236" s="68"/>
    </row>
    <row r="237" spans="4:15">
      <c r="F237" s="96" t="s">
        <v>117</v>
      </c>
      <c r="G237" s="104">
        <v>0.46</v>
      </c>
      <c r="I237" s="61"/>
      <c r="J237" s="589"/>
      <c r="K237" s="589"/>
      <c r="L237" s="503" t="s">
        <v>94</v>
      </c>
      <c r="M237" s="589"/>
      <c r="N237" s="589"/>
      <c r="O237" s="61"/>
    </row>
    <row r="238" spans="4:15">
      <c r="I238" s="61"/>
      <c r="J238" s="68"/>
      <c r="K238" s="68"/>
      <c r="L238" s="72"/>
      <c r="M238" s="68"/>
      <c r="N238" s="68"/>
      <c r="O238" s="61"/>
    </row>
    <row r="239" spans="4:15">
      <c r="F239" s="96" t="s">
        <v>118</v>
      </c>
      <c r="G239" s="104">
        <v>0.23</v>
      </c>
      <c r="I239" s="61"/>
      <c r="J239" s="68"/>
      <c r="K239" s="180"/>
      <c r="L239" s="181" t="s">
        <v>89</v>
      </c>
      <c r="M239" s="97">
        <f>M225*G239</f>
        <v>0</v>
      </c>
      <c r="N239" s="68"/>
      <c r="O239" s="61"/>
    </row>
    <row r="240" spans="4:15">
      <c r="J240" s="68"/>
      <c r="K240" s="72"/>
      <c r="L240" s="182"/>
      <c r="M240" s="183"/>
      <c r="N240" s="68"/>
    </row>
    <row r="241" spans="1:22">
      <c r="J241" s="68"/>
      <c r="K241" s="184"/>
      <c r="L241" s="185" t="s">
        <v>90</v>
      </c>
      <c r="M241" s="97">
        <f>M227*G239</f>
        <v>0</v>
      </c>
      <c r="N241" s="68"/>
    </row>
    <row r="242" spans="1:22">
      <c r="J242" s="68"/>
      <c r="K242" s="72"/>
      <c r="L242" s="186"/>
      <c r="M242" s="183"/>
      <c r="N242" s="72"/>
    </row>
    <row r="243" spans="1:22">
      <c r="J243" s="68"/>
      <c r="K243" s="73"/>
      <c r="L243" s="73" t="s">
        <v>91</v>
      </c>
      <c r="M243" s="97">
        <f>M229*G237</f>
        <v>0</v>
      </c>
      <c r="N243" s="68"/>
    </row>
    <row r="244" spans="1:22">
      <c r="J244" s="68"/>
      <c r="K244" s="68"/>
      <c r="L244" s="68"/>
      <c r="M244" s="68"/>
      <c r="N244" s="68"/>
    </row>
    <row r="245" spans="1:22">
      <c r="A245" s="48" t="s">
        <v>147</v>
      </c>
      <c r="J245" s="74"/>
      <c r="K245" s="74"/>
      <c r="L245" s="76" t="s">
        <v>149</v>
      </c>
      <c r="M245" s="68"/>
      <c r="N245" s="68"/>
    </row>
    <row r="246" spans="1:22">
      <c r="J246" s="173"/>
      <c r="K246" s="173"/>
      <c r="L246" s="173"/>
      <c r="M246" s="173"/>
      <c r="N246" s="173"/>
    </row>
    <row r="249" spans="1:22">
      <c r="D249" s="90"/>
      <c r="E249" s="90"/>
      <c r="F249" s="90"/>
      <c r="G249" s="90"/>
      <c r="H249" s="90"/>
      <c r="I249" s="90"/>
      <c r="J249" s="90"/>
      <c r="K249" s="90"/>
      <c r="L249" s="90"/>
      <c r="M249" s="90"/>
      <c r="N249" s="90"/>
      <c r="O249" s="90"/>
      <c r="P249" s="90"/>
      <c r="Q249" s="90"/>
      <c r="R249" s="61"/>
      <c r="S249" s="61"/>
      <c r="T249" s="61"/>
      <c r="U249" s="61"/>
      <c r="V249" s="61"/>
    </row>
    <row r="251" spans="1:22" ht="16.8">
      <c r="D251" s="53" t="s">
        <v>145</v>
      </c>
      <c r="K251" s="48" t="s">
        <v>85</v>
      </c>
    </row>
    <row r="252" spans="1:22">
      <c r="P252" s="61"/>
      <c r="Q252" s="61"/>
      <c r="R252" s="61"/>
      <c r="S252" s="61"/>
      <c r="T252" s="61"/>
    </row>
    <row r="253" spans="1:22" ht="15.75" customHeight="1">
      <c r="F253" s="100" t="s">
        <v>115</v>
      </c>
      <c r="G253" s="313">
        <v>0.45</v>
      </c>
      <c r="P253" s="61"/>
      <c r="Q253" s="61"/>
      <c r="R253" s="61"/>
      <c r="S253" s="61"/>
      <c r="T253" s="61"/>
    </row>
    <row r="254" spans="1:22" ht="15" customHeight="1">
      <c r="F254" s="100"/>
      <c r="K254" s="187"/>
      <c r="L254" s="188" t="s">
        <v>86</v>
      </c>
      <c r="M254" s="97">
        <f>Diagnoses!G31/G255</f>
        <v>0</v>
      </c>
      <c r="P254" s="61"/>
      <c r="Q254" s="61"/>
      <c r="R254" s="61"/>
      <c r="S254" s="61"/>
      <c r="T254" s="61"/>
    </row>
    <row r="255" spans="1:22" ht="15.75" customHeight="1">
      <c r="F255" s="100" t="s">
        <v>116</v>
      </c>
      <c r="G255" s="104">
        <v>0.23400000000000001</v>
      </c>
      <c r="L255" s="498"/>
      <c r="M255" s="94"/>
      <c r="P255" s="61"/>
      <c r="Q255" s="333"/>
      <c r="R255" s="333"/>
      <c r="S255" s="333"/>
      <c r="T255" s="61"/>
    </row>
    <row r="256" spans="1:22" ht="15" customHeight="1">
      <c r="K256" s="190"/>
      <c r="L256" s="100" t="s">
        <v>87</v>
      </c>
      <c r="M256" s="97">
        <f>Diagnoses!G33/G255</f>
        <v>0</v>
      </c>
      <c r="P256" s="61"/>
      <c r="Q256" s="61"/>
      <c r="R256" s="100"/>
      <c r="S256" s="61"/>
      <c r="T256" s="61"/>
    </row>
    <row r="257" spans="4:20" ht="15" customHeight="1">
      <c r="L257" s="498"/>
      <c r="M257" s="94"/>
      <c r="P257" s="61"/>
      <c r="Q257" s="187"/>
      <c r="R257" s="188"/>
      <c r="S257" s="94"/>
      <c r="T257" s="61"/>
    </row>
    <row r="258" spans="4:20" ht="15" customHeight="1">
      <c r="K258" s="190"/>
      <c r="L258" s="100" t="s">
        <v>88</v>
      </c>
      <c r="M258" s="97">
        <f>Diagnoses!G35/G253</f>
        <v>0</v>
      </c>
      <c r="P258" s="61"/>
      <c r="Q258" s="100"/>
      <c r="R258" s="189"/>
      <c r="S258" s="94"/>
      <c r="T258" s="61"/>
    </row>
    <row r="259" spans="4:20" ht="15" customHeight="1">
      <c r="P259" s="61"/>
      <c r="Q259" s="190"/>
      <c r="R259" s="100"/>
      <c r="S259" s="94"/>
      <c r="T259" s="61"/>
    </row>
    <row r="260" spans="4:20">
      <c r="L260" s="405" t="s">
        <v>148</v>
      </c>
      <c r="P260" s="61"/>
      <c r="Q260" s="100"/>
      <c r="R260" s="191"/>
      <c r="S260" s="94"/>
      <c r="T260" s="100"/>
    </row>
    <row r="261" spans="4:20">
      <c r="P261" s="61"/>
      <c r="Q261" s="100"/>
      <c r="R261" s="100"/>
      <c r="S261" s="94"/>
      <c r="T261" s="61"/>
    </row>
    <row r="262" spans="4:20">
      <c r="P262" s="61"/>
      <c r="Q262" s="61"/>
      <c r="R262" s="61"/>
      <c r="S262" s="61"/>
      <c r="T262" s="61"/>
    </row>
    <row r="263" spans="4:20" ht="16.8">
      <c r="D263" s="53" t="s">
        <v>146</v>
      </c>
      <c r="P263" s="61"/>
      <c r="Q263" s="61"/>
      <c r="R263" s="61"/>
      <c r="S263" s="61"/>
      <c r="T263" s="61"/>
    </row>
    <row r="265" spans="4:20">
      <c r="J265" s="68"/>
      <c r="K265" s="68"/>
      <c r="L265" s="68"/>
      <c r="M265" s="68"/>
      <c r="N265" s="68"/>
    </row>
    <row r="266" spans="4:20">
      <c r="F266" s="96" t="s">
        <v>117</v>
      </c>
      <c r="G266" s="104">
        <v>0.69</v>
      </c>
      <c r="I266" s="61"/>
      <c r="J266" s="589"/>
      <c r="K266" s="589"/>
      <c r="L266" s="503" t="s">
        <v>94</v>
      </c>
      <c r="M266" s="589"/>
      <c r="N266" s="589"/>
      <c r="O266" s="61"/>
    </row>
    <row r="267" spans="4:20">
      <c r="I267" s="61"/>
      <c r="J267" s="68"/>
      <c r="K267" s="68"/>
      <c r="L267" s="72"/>
      <c r="M267" s="68"/>
      <c r="N267" s="68"/>
      <c r="O267" s="61"/>
    </row>
    <row r="268" spans="4:20">
      <c r="F268" s="96" t="s">
        <v>118</v>
      </c>
      <c r="G268" s="104">
        <v>0.41</v>
      </c>
      <c r="I268" s="61"/>
      <c r="J268" s="68"/>
      <c r="K268" s="180"/>
      <c r="L268" s="181" t="s">
        <v>89</v>
      </c>
      <c r="M268" s="97">
        <f>M254*G268</f>
        <v>0</v>
      </c>
      <c r="N268" s="68"/>
      <c r="O268" s="61"/>
    </row>
    <row r="269" spans="4:20">
      <c r="I269" s="61"/>
      <c r="J269" s="68"/>
      <c r="K269" s="72"/>
      <c r="L269" s="182"/>
      <c r="M269" s="183"/>
      <c r="N269" s="68"/>
      <c r="O269" s="61"/>
    </row>
    <row r="270" spans="4:20">
      <c r="J270" s="68"/>
      <c r="K270" s="184"/>
      <c r="L270" s="185" t="s">
        <v>90</v>
      </c>
      <c r="M270" s="97">
        <f>M256*G268</f>
        <v>0</v>
      </c>
      <c r="N270" s="68"/>
    </row>
    <row r="271" spans="4:20">
      <c r="J271" s="68"/>
      <c r="K271" s="72"/>
      <c r="L271" s="186"/>
      <c r="M271" s="183"/>
      <c r="N271" s="72"/>
    </row>
    <row r="272" spans="4:20">
      <c r="J272" s="68"/>
      <c r="K272" s="73"/>
      <c r="L272" s="73" t="s">
        <v>91</v>
      </c>
      <c r="M272" s="97">
        <f>M258*G266</f>
        <v>0</v>
      </c>
      <c r="N272" s="68"/>
    </row>
    <row r="273" spans="4:22">
      <c r="J273" s="68"/>
      <c r="K273" s="68"/>
      <c r="L273" s="68"/>
      <c r="M273" s="68"/>
      <c r="N273" s="68"/>
    </row>
    <row r="274" spans="4:22">
      <c r="J274" s="74"/>
      <c r="K274" s="74"/>
      <c r="L274" s="76" t="s">
        <v>149</v>
      </c>
      <c r="M274" s="68"/>
      <c r="N274" s="68"/>
    </row>
    <row r="279" spans="4:22">
      <c r="D279" s="90"/>
      <c r="E279" s="90"/>
      <c r="F279" s="90"/>
      <c r="G279" s="90"/>
      <c r="H279" s="90"/>
      <c r="I279" s="90"/>
      <c r="J279" s="90"/>
      <c r="K279" s="90"/>
      <c r="L279" s="90"/>
      <c r="M279" s="90"/>
      <c r="N279" s="90"/>
      <c r="O279" s="90"/>
      <c r="P279" s="90"/>
      <c r="Q279" s="90"/>
      <c r="R279" s="61"/>
      <c r="S279" s="61"/>
      <c r="T279" s="61"/>
      <c r="U279" s="61"/>
      <c r="V279" s="61"/>
    </row>
    <row r="281" spans="4:22" ht="16.8">
      <c r="D281" s="53" t="s">
        <v>168</v>
      </c>
    </row>
    <row r="283" spans="4:22">
      <c r="F283" s="100"/>
      <c r="G283" s="104">
        <v>0.55600000000000005</v>
      </c>
    </row>
    <row r="284" spans="4:22">
      <c r="I284" s="82"/>
    </row>
    <row r="286" spans="4:22" ht="16.8">
      <c r="D286" s="53" t="s">
        <v>169</v>
      </c>
    </row>
    <row r="288" spans="4:22">
      <c r="F288" s="100"/>
      <c r="G288" s="104">
        <v>3.34</v>
      </c>
    </row>
    <row r="289" spans="4:10">
      <c r="I289" s="82"/>
    </row>
    <row r="292" spans="4:10">
      <c r="D292" s="68"/>
      <c r="E292" s="68"/>
      <c r="F292" s="68"/>
      <c r="G292" s="68"/>
      <c r="H292" s="68"/>
    </row>
    <row r="293" spans="4:10">
      <c r="D293" s="321"/>
      <c r="E293" s="321"/>
      <c r="F293" s="342" t="s">
        <v>119</v>
      </c>
      <c r="G293" s="321"/>
      <c r="H293" s="321"/>
    </row>
    <row r="294" spans="4:10">
      <c r="D294" s="68"/>
      <c r="E294" s="68"/>
      <c r="F294" s="72"/>
      <c r="G294" s="68"/>
      <c r="H294" s="68"/>
    </row>
    <row r="295" spans="4:10">
      <c r="D295" s="68"/>
      <c r="E295" s="180"/>
      <c r="F295" s="344">
        <f>Diagnoses!G44*(G288/G283)</f>
        <v>0</v>
      </c>
      <c r="G295" s="68"/>
      <c r="H295" s="68"/>
    </row>
    <row r="296" spans="4:10" ht="21" customHeight="1">
      <c r="D296" s="343"/>
      <c r="E296" s="343"/>
      <c r="F296" s="343"/>
      <c r="G296" s="343"/>
      <c r="H296" s="343"/>
      <c r="J296" s="487"/>
    </row>
    <row r="297" spans="4:10">
      <c r="D297" s="74"/>
      <c r="E297" s="74"/>
      <c r="F297" s="76" t="s">
        <v>312</v>
      </c>
      <c r="G297" s="68"/>
      <c r="H297" s="68"/>
    </row>
    <row r="298" spans="4:10">
      <c r="D298" s="173"/>
      <c r="E298" s="173"/>
      <c r="F298" s="173"/>
      <c r="G298" s="173"/>
      <c r="H298" s="173"/>
    </row>
    <row r="302" spans="4:10">
      <c r="F302" s="100"/>
      <c r="G302" s="61"/>
      <c r="H302" s="61"/>
    </row>
    <row r="310" spans="2:19" ht="24.6">
      <c r="B310" s="54"/>
    </row>
    <row r="312" spans="2:19">
      <c r="S312" s="61"/>
    </row>
  </sheetData>
  <protectedRanges>
    <protectedRange sqref="G283 G288" name="hivaware"/>
    <protectedRange sqref="G266:G268" name="dur2"/>
    <protectedRange sqref="G253:G255" name="diag2"/>
    <protectedRange sqref="G237:G239" name="dur1"/>
    <protectedRange sqref="G224:G226" name="diag1"/>
    <protectedRange sqref="O113" name="msmparts"/>
    <protectedRange sqref="O102:U107" name="partcalc6"/>
    <protectedRange sqref="O93:U98" name="partcalc5"/>
    <protectedRange sqref="O84:U89" name="partcalc4"/>
    <protectedRange sqref="E102:K107" name="partcalc3"/>
    <protectedRange sqref="E93:K98" name="partcalc2"/>
    <protectedRange sqref="E84:K89" name="partcalc1"/>
    <protectedRange sqref="G23:I24" name="altpop1"/>
    <protectedRange sqref="G32:I33" name="altpop2"/>
    <protectedRange sqref="G41:I43" name="altpop3"/>
    <protectedRange sqref="H144:H154 H156:H166 H168:H170" name="transprobs"/>
  </protectedRanges>
  <pageMargins left="0.7" right="0.7" top="0.75" bottom="0.75" header="0.3" footer="0.3"/>
  <pageSetup orientation="portrait" horizontalDpi="1200" verticalDpi="1200" r:id="rId1"/>
  <drawing r:id="rId2"/>
  <legacyDrawing r:id="rId3"/>
  <controls>
    <mc:AlternateContent xmlns:mc="http://schemas.openxmlformats.org/markup-compatibility/2006">
      <mc:Choice Requires="x14">
        <control shapeId="38946" r:id="rId4" name="CommandButton4">
          <controlPr defaultSize="0" autoLine="0" altText="button, click to reset the current value for the proportion of MSM's partners that are female_x000a_" r:id="rId5">
            <anchor moveWithCells="1">
              <from>
                <xdr:col>17</xdr:col>
                <xdr:colOff>327660</xdr:colOff>
                <xdr:row>112</xdr:row>
                <xdr:rowOff>0</xdr:rowOff>
              </from>
              <to>
                <xdr:col>18</xdr:col>
                <xdr:colOff>922020</xdr:colOff>
                <xdr:row>113</xdr:row>
                <xdr:rowOff>76200</xdr:rowOff>
              </to>
            </anchor>
          </controlPr>
        </control>
      </mc:Choice>
      <mc:Fallback>
        <control shapeId="38946" r:id="rId4" name="CommandButton4"/>
      </mc:Fallback>
    </mc:AlternateContent>
    <mc:AlternateContent xmlns:mc="http://schemas.openxmlformats.org/markup-compatibility/2006">
      <mc:Choice Requires="x14">
        <control shapeId="38945" r:id="rId6" name="CommandButton8">
          <controlPr defaultSize="0" autoLine="0" altText="button, click to set default value for the proportion of MSM's partners that are female_x000a_" r:id="rId7">
            <anchor moveWithCells="1">
              <from>
                <xdr:col>15</xdr:col>
                <xdr:colOff>289560</xdr:colOff>
                <xdr:row>112</xdr:row>
                <xdr:rowOff>0</xdr:rowOff>
              </from>
              <to>
                <xdr:col>17</xdr:col>
                <xdr:colOff>167640</xdr:colOff>
                <xdr:row>113</xdr:row>
                <xdr:rowOff>76200</xdr:rowOff>
              </to>
            </anchor>
          </controlPr>
        </control>
      </mc:Choice>
      <mc:Fallback>
        <control shapeId="38945" r:id="rId6" name="CommandButton8"/>
      </mc:Fallback>
    </mc:AlternateContent>
    <mc:AlternateContent xmlns:mc="http://schemas.openxmlformats.org/markup-compatibility/2006">
      <mc:Choice Requires="x14">
        <control shapeId="38944" r:id="rId8" name="CheckBox2">
          <controlPr defaultSize="0" autoLine="0" altText="Check this box to use the partner data from this calculator in your model" r:id="rId9">
            <anchor moveWithCells="1">
              <from>
                <xdr:col>0</xdr:col>
                <xdr:colOff>525780</xdr:colOff>
                <xdr:row>70</xdr:row>
                <xdr:rowOff>22860</xdr:rowOff>
              </from>
              <to>
                <xdr:col>4</xdr:col>
                <xdr:colOff>114300</xdr:colOff>
                <xdr:row>73</xdr:row>
                <xdr:rowOff>190500</xdr:rowOff>
              </to>
            </anchor>
          </controlPr>
        </control>
      </mc:Choice>
      <mc:Fallback>
        <control shapeId="38944" r:id="rId8" name="CheckBox2"/>
      </mc:Fallback>
    </mc:AlternateContent>
    <mc:AlternateContent xmlns:mc="http://schemas.openxmlformats.org/markup-compatibility/2006">
      <mc:Choice Requires="x14">
        <control shapeId="38913" r:id="rId10" name="CheckBox1">
          <controlPr defaultSize="0" autoLine="0" altText="Check this box to use the population sizes from the alternative population size calculator in your model" r:id="rId11">
            <anchor moveWithCells="1">
              <from>
                <xdr:col>1</xdr:col>
                <xdr:colOff>0</xdr:colOff>
                <xdr:row>6</xdr:row>
                <xdr:rowOff>236220</xdr:rowOff>
              </from>
              <to>
                <xdr:col>3</xdr:col>
                <xdr:colOff>579120</xdr:colOff>
                <xdr:row>11</xdr:row>
                <xdr:rowOff>205740</xdr:rowOff>
              </to>
            </anchor>
          </controlPr>
        </control>
      </mc:Choice>
      <mc:Fallback>
        <control shapeId="38913" r:id="rId10" name="CheckBox1"/>
      </mc:Fallback>
    </mc:AlternateContent>
    <mc:AlternateContent xmlns:mc="http://schemas.openxmlformats.org/markup-compatibility/2006">
      <mc:Choice Requires="x14">
        <control shapeId="38914" r:id="rId12" name="CommandButton1">
          <controlPr defaultSize="0" autoLine="0" altText="button, click to go back to the table of contents_x000a_" r:id="rId13">
            <anchor moveWithCells="1">
              <from>
                <xdr:col>16</xdr:col>
                <xdr:colOff>60960</xdr:colOff>
                <xdr:row>2</xdr:row>
                <xdr:rowOff>0</xdr:rowOff>
              </from>
              <to>
                <xdr:col>18</xdr:col>
                <xdr:colOff>624840</xdr:colOff>
                <xdr:row>3</xdr:row>
                <xdr:rowOff>274320</xdr:rowOff>
              </to>
            </anchor>
          </controlPr>
        </control>
      </mc:Choice>
      <mc:Fallback>
        <control shapeId="38914" r:id="rId12" name="CommandButton1"/>
      </mc:Fallback>
    </mc:AlternateContent>
    <mc:AlternateContent xmlns:mc="http://schemas.openxmlformats.org/markup-compatibility/2006">
      <mc:Choice Requires="x14">
        <control shapeId="38915" r:id="rId14" name="CommandButton2">
          <controlPr defaultSize="0" autoLine="0" altText="button, click to set the default values for the total adolescent population size by sex and age_x000a_" r:id="rId15">
            <anchor moveWithCells="1">
              <from>
                <xdr:col>10</xdr:col>
                <xdr:colOff>289560</xdr:colOff>
                <xdr:row>21</xdr:row>
                <xdr:rowOff>121920</xdr:rowOff>
              </from>
              <to>
                <xdr:col>11</xdr:col>
                <xdr:colOff>594360</xdr:colOff>
                <xdr:row>24</xdr:row>
                <xdr:rowOff>129540</xdr:rowOff>
              </to>
            </anchor>
          </controlPr>
        </control>
      </mc:Choice>
      <mc:Fallback>
        <control shapeId="38915" r:id="rId14" name="CommandButton2"/>
      </mc:Fallback>
    </mc:AlternateContent>
    <mc:AlternateContent xmlns:mc="http://schemas.openxmlformats.org/markup-compatibility/2006">
      <mc:Choice Requires="x14">
        <control shapeId="38916" r:id="rId16" name="CommandButton3">
          <controlPr defaultSize="0" autoLine="0" altText="button, click to set the default values for the proportion of adolescents from who have sexually debuted into the three sexual partnering groups by sex and age group" r:id="rId17">
            <anchor moveWithCells="1">
              <from>
                <xdr:col>10</xdr:col>
                <xdr:colOff>289560</xdr:colOff>
                <xdr:row>40</xdr:row>
                <xdr:rowOff>0</xdr:rowOff>
              </from>
              <to>
                <xdr:col>11</xdr:col>
                <xdr:colOff>594360</xdr:colOff>
                <xdr:row>43</xdr:row>
                <xdr:rowOff>7620</xdr:rowOff>
              </to>
            </anchor>
          </controlPr>
        </control>
      </mc:Choice>
      <mc:Fallback>
        <control shapeId="38916" r:id="rId16" name="CommandButton3"/>
      </mc:Fallback>
    </mc:AlternateContent>
    <mc:AlternateContent xmlns:mc="http://schemas.openxmlformats.org/markup-compatibility/2006">
      <mc:Choice Requires="x14">
        <control shapeId="38919" r:id="rId18" name="CommandButton6">
          <controlPr defaultSize="0" autoLine="0" altText="button, click to clear the current values for the total adolescent population size by sex and age_x000a_" r:id="rId19">
            <anchor moveWithCells="1">
              <from>
                <xdr:col>12</xdr:col>
                <xdr:colOff>137160</xdr:colOff>
                <xdr:row>21</xdr:row>
                <xdr:rowOff>121920</xdr:rowOff>
              </from>
              <to>
                <xdr:col>12</xdr:col>
                <xdr:colOff>1356360</xdr:colOff>
                <xdr:row>24</xdr:row>
                <xdr:rowOff>129540</xdr:rowOff>
              </to>
            </anchor>
          </controlPr>
        </control>
      </mc:Choice>
      <mc:Fallback>
        <control shapeId="38919" r:id="rId18" name="CommandButton6"/>
      </mc:Fallback>
    </mc:AlternateContent>
    <mc:AlternateContent xmlns:mc="http://schemas.openxmlformats.org/markup-compatibility/2006">
      <mc:Choice Requires="x14">
        <control shapeId="38920" r:id="rId20" name="CommandButton7">
          <controlPr defaultSize="0" autoLine="0" altText="button, click to clear the current values for the proportion of adolescents from who have sexually debuted into the three sexual partnering groups by sex and age group" r:id="rId21">
            <anchor moveWithCells="1">
              <from>
                <xdr:col>12</xdr:col>
                <xdr:colOff>137160</xdr:colOff>
                <xdr:row>40</xdr:row>
                <xdr:rowOff>0</xdr:rowOff>
              </from>
              <to>
                <xdr:col>12</xdr:col>
                <xdr:colOff>1356360</xdr:colOff>
                <xdr:row>43</xdr:row>
                <xdr:rowOff>7620</xdr:rowOff>
              </to>
            </anchor>
          </controlPr>
        </control>
      </mc:Choice>
      <mc:Fallback>
        <control shapeId="38920" r:id="rId20" name="CommandButton7"/>
      </mc:Fallback>
    </mc:AlternateContent>
    <mc:AlternateContent xmlns:mc="http://schemas.openxmlformats.org/markup-compatibility/2006">
      <mc:Choice Requires="x14">
        <control shapeId="38923" r:id="rId22" name="CommandButton9">
          <controlPr defaultSize="0" autoLine="0" altText="Button, click to set the default values for gonorrhea transmissibility " r:id="rId23">
            <anchor moveWithCells="1">
              <from>
                <xdr:col>9</xdr:col>
                <xdr:colOff>152400</xdr:colOff>
                <xdr:row>145</xdr:row>
                <xdr:rowOff>7620</xdr:rowOff>
              </from>
              <to>
                <xdr:col>11</xdr:col>
                <xdr:colOff>236220</xdr:colOff>
                <xdr:row>148</xdr:row>
                <xdr:rowOff>121920</xdr:rowOff>
              </to>
            </anchor>
          </controlPr>
        </control>
      </mc:Choice>
      <mc:Fallback>
        <control shapeId="38923" r:id="rId22" name="CommandButton9"/>
      </mc:Fallback>
    </mc:AlternateContent>
    <mc:AlternateContent xmlns:mc="http://schemas.openxmlformats.org/markup-compatibility/2006">
      <mc:Choice Requires="x14">
        <control shapeId="38924" r:id="rId24" name="CommandButton10">
          <controlPr defaultSize="0" autoLine="0" altText="Button, click to set the default values for chlaymida transmissibility " r:id="rId25">
            <anchor moveWithCells="1">
              <from>
                <xdr:col>9</xdr:col>
                <xdr:colOff>152400</xdr:colOff>
                <xdr:row>157</xdr:row>
                <xdr:rowOff>0</xdr:rowOff>
              </from>
              <to>
                <xdr:col>11</xdr:col>
                <xdr:colOff>236220</xdr:colOff>
                <xdr:row>160</xdr:row>
                <xdr:rowOff>114300</xdr:rowOff>
              </to>
            </anchor>
          </controlPr>
        </control>
      </mc:Choice>
      <mc:Fallback>
        <control shapeId="38924" r:id="rId24" name="CommandButton10"/>
      </mc:Fallback>
    </mc:AlternateContent>
    <mc:AlternateContent xmlns:mc="http://schemas.openxmlformats.org/markup-compatibility/2006">
      <mc:Choice Requires="x14">
        <control shapeId="38925" r:id="rId26" name="CommandButton11">
          <controlPr defaultSize="0" autoLine="0" altText="Button, click to set values to default for HIV transmissibility " r:id="rId27">
            <anchor moveWithCells="1">
              <from>
                <xdr:col>9</xdr:col>
                <xdr:colOff>152400</xdr:colOff>
                <xdr:row>167</xdr:row>
                <xdr:rowOff>0</xdr:rowOff>
              </from>
              <to>
                <xdr:col>11</xdr:col>
                <xdr:colOff>236220</xdr:colOff>
                <xdr:row>170</xdr:row>
                <xdr:rowOff>114300</xdr:rowOff>
              </to>
            </anchor>
          </controlPr>
        </control>
      </mc:Choice>
      <mc:Fallback>
        <control shapeId="38925" r:id="rId26" name="CommandButton11"/>
      </mc:Fallback>
    </mc:AlternateContent>
    <mc:AlternateContent xmlns:mc="http://schemas.openxmlformats.org/markup-compatibility/2006">
      <mc:Choice Requires="x14">
        <control shapeId="38926" r:id="rId28" name="CommandButton12">
          <controlPr defaultSize="0" autoLine="0" altText="Button, click to reset the current values for gonorrhea transmissibility " r:id="rId29">
            <anchor moveWithCells="1">
              <from>
                <xdr:col>11</xdr:col>
                <xdr:colOff>563880</xdr:colOff>
                <xdr:row>145</xdr:row>
                <xdr:rowOff>0</xdr:rowOff>
              </from>
              <to>
                <xdr:col>13</xdr:col>
                <xdr:colOff>297180</xdr:colOff>
                <xdr:row>148</xdr:row>
                <xdr:rowOff>114300</xdr:rowOff>
              </to>
            </anchor>
          </controlPr>
        </control>
      </mc:Choice>
      <mc:Fallback>
        <control shapeId="38926" r:id="rId28" name="CommandButton12"/>
      </mc:Fallback>
    </mc:AlternateContent>
    <mc:AlternateContent xmlns:mc="http://schemas.openxmlformats.org/markup-compatibility/2006">
      <mc:Choice Requires="x14">
        <control shapeId="38927" r:id="rId30" name="CommandButton13">
          <controlPr defaultSize="0" autoLine="0" altText="Button, click to reset the current values for chlamydia transmissibility " r:id="rId31">
            <anchor moveWithCells="1">
              <from>
                <xdr:col>11</xdr:col>
                <xdr:colOff>563880</xdr:colOff>
                <xdr:row>157</xdr:row>
                <xdr:rowOff>0</xdr:rowOff>
              </from>
              <to>
                <xdr:col>13</xdr:col>
                <xdr:colOff>297180</xdr:colOff>
                <xdr:row>160</xdr:row>
                <xdr:rowOff>114300</xdr:rowOff>
              </to>
            </anchor>
          </controlPr>
        </control>
      </mc:Choice>
      <mc:Fallback>
        <control shapeId="38927" r:id="rId30" name="CommandButton13"/>
      </mc:Fallback>
    </mc:AlternateContent>
    <mc:AlternateContent xmlns:mc="http://schemas.openxmlformats.org/markup-compatibility/2006">
      <mc:Choice Requires="x14">
        <control shapeId="38928" r:id="rId32" name="CommandButton14">
          <controlPr defaultSize="0" autoLine="0" altText="Button, click to reset current values to default for HIV transmissibility " r:id="rId33">
            <anchor moveWithCells="1">
              <from>
                <xdr:col>11</xdr:col>
                <xdr:colOff>563880</xdr:colOff>
                <xdr:row>167</xdr:row>
                <xdr:rowOff>0</xdr:rowOff>
              </from>
              <to>
                <xdr:col>13</xdr:col>
                <xdr:colOff>342900</xdr:colOff>
                <xdr:row>170</xdr:row>
                <xdr:rowOff>114300</xdr:rowOff>
              </to>
            </anchor>
          </controlPr>
        </control>
      </mc:Choice>
      <mc:Fallback>
        <control shapeId="38928" r:id="rId32" name="CommandButton14"/>
      </mc:Fallback>
    </mc:AlternateContent>
    <mc:AlternateContent xmlns:mc="http://schemas.openxmlformats.org/markup-compatibility/2006">
      <mc:Choice Requires="x14">
        <control shapeId="38929" r:id="rId34" name="CommandButton15">
          <controlPr defaultSize="0" autoLine="0" altText="button, click to go back to the table of contents_x000a_" r:id="rId35">
            <anchor moveWithCells="1">
              <from>
                <xdr:col>16</xdr:col>
                <xdr:colOff>175260</xdr:colOff>
                <xdr:row>65</xdr:row>
                <xdr:rowOff>7620</xdr:rowOff>
              </from>
              <to>
                <xdr:col>18</xdr:col>
                <xdr:colOff>739140</xdr:colOff>
                <xdr:row>67</xdr:row>
                <xdr:rowOff>15240</xdr:rowOff>
              </to>
            </anchor>
          </controlPr>
        </control>
      </mc:Choice>
      <mc:Fallback>
        <control shapeId="38929" r:id="rId34" name="CommandButton15"/>
      </mc:Fallback>
    </mc:AlternateContent>
    <mc:AlternateContent xmlns:mc="http://schemas.openxmlformats.org/markup-compatibility/2006">
      <mc:Choice Requires="x14">
        <control shapeId="38930" r:id="rId36" name="CommandButton16">
          <controlPr defaultSize="0" autoLine="0" altText="button, click to go back to the table of contents_x000a_" r:id="rId37">
            <anchor moveWithCells="1">
              <from>
                <xdr:col>16</xdr:col>
                <xdr:colOff>198120</xdr:colOff>
                <xdr:row>121</xdr:row>
                <xdr:rowOff>121920</xdr:rowOff>
              </from>
              <to>
                <xdr:col>18</xdr:col>
                <xdr:colOff>777240</xdr:colOff>
                <xdr:row>123</xdr:row>
                <xdr:rowOff>129540</xdr:rowOff>
              </to>
            </anchor>
          </controlPr>
        </control>
      </mc:Choice>
      <mc:Fallback>
        <control shapeId="38930" r:id="rId36" name="CommandButton16"/>
      </mc:Fallback>
    </mc:AlternateContent>
    <mc:AlternateContent xmlns:mc="http://schemas.openxmlformats.org/markup-compatibility/2006">
      <mc:Choice Requires="x14">
        <control shapeId="38935" r:id="rId38" name="CommandButton21">
          <controlPr defaultSize="0" autoLine="0" altText="button, click to go back to the table of contents_x000a_" r:id="rId39">
            <anchor moveWithCells="1">
              <from>
                <xdr:col>16</xdr:col>
                <xdr:colOff>182880</xdr:colOff>
                <xdr:row>193</xdr:row>
                <xdr:rowOff>68580</xdr:rowOff>
              </from>
              <to>
                <xdr:col>18</xdr:col>
                <xdr:colOff>762000</xdr:colOff>
                <xdr:row>194</xdr:row>
                <xdr:rowOff>388620</xdr:rowOff>
              </to>
            </anchor>
          </controlPr>
        </control>
      </mc:Choice>
      <mc:Fallback>
        <control shapeId="38935" r:id="rId38" name="CommandButton21"/>
      </mc:Fallback>
    </mc:AlternateContent>
    <mc:AlternateContent xmlns:mc="http://schemas.openxmlformats.org/markup-compatibility/2006">
      <mc:Choice Requires="x14">
        <control shapeId="38936" r:id="rId40" name="CommandButton22">
          <controlPr defaultSize="0" autoLine="0" altText="Button, click to use default values for the proportion of incident chlamydia cases that get diagnosed among females and males" r:id="rId41">
            <anchor moveWithCells="1">
              <from>
                <xdr:col>3</xdr:col>
                <xdr:colOff>563880</xdr:colOff>
                <xdr:row>256</xdr:row>
                <xdr:rowOff>38100</xdr:rowOff>
              </from>
              <to>
                <xdr:col>5</xdr:col>
                <xdr:colOff>1325880</xdr:colOff>
                <xdr:row>259</xdr:row>
                <xdr:rowOff>106680</xdr:rowOff>
              </to>
            </anchor>
          </controlPr>
        </control>
      </mc:Choice>
      <mc:Fallback>
        <control shapeId="38936" r:id="rId40" name="CommandButton22"/>
      </mc:Fallback>
    </mc:AlternateContent>
    <mc:AlternateContent xmlns:mc="http://schemas.openxmlformats.org/markup-compatibility/2006">
      <mc:Choice Requires="x14">
        <control shapeId="38937" r:id="rId42" name="CommandButton23">
          <controlPr defaultSize="0" autoLine="0" altText="Button, click to reset the current values for the proportion of incident chlamydia cases that get diagnosed among females and males" r:id="rId43">
            <anchor moveWithCells="1">
              <from>
                <xdr:col>6</xdr:col>
                <xdr:colOff>144780</xdr:colOff>
                <xdr:row>256</xdr:row>
                <xdr:rowOff>38100</xdr:rowOff>
              </from>
              <to>
                <xdr:col>8</xdr:col>
                <xdr:colOff>144780</xdr:colOff>
                <xdr:row>259</xdr:row>
                <xdr:rowOff>106680</xdr:rowOff>
              </to>
            </anchor>
          </controlPr>
        </control>
      </mc:Choice>
      <mc:Fallback>
        <control shapeId="38937" r:id="rId42" name="CommandButton23"/>
      </mc:Fallback>
    </mc:AlternateContent>
    <mc:AlternateContent xmlns:mc="http://schemas.openxmlformats.org/markup-compatibility/2006">
      <mc:Choice Requires="x14">
        <control shapeId="38938" r:id="rId44" name="CommandButton24">
          <controlPr defaultSize="0" autoLine="0" altText="Button, click to use default values for the proportion of incident chlamydia cases that get diagnosed among females and males" r:id="rId45">
            <anchor moveWithCells="1">
              <from>
                <xdr:col>3</xdr:col>
                <xdr:colOff>563880</xdr:colOff>
                <xdr:row>269</xdr:row>
                <xdr:rowOff>144780</xdr:rowOff>
              </from>
              <to>
                <xdr:col>5</xdr:col>
                <xdr:colOff>1325880</xdr:colOff>
                <xdr:row>273</xdr:row>
                <xdr:rowOff>83820</xdr:rowOff>
              </to>
            </anchor>
          </controlPr>
        </control>
      </mc:Choice>
      <mc:Fallback>
        <control shapeId="38938" r:id="rId44" name="CommandButton24"/>
      </mc:Fallback>
    </mc:AlternateContent>
    <mc:AlternateContent xmlns:mc="http://schemas.openxmlformats.org/markup-compatibility/2006">
      <mc:Choice Requires="x14">
        <control shapeId="38939" r:id="rId46" name="CommandButton25">
          <controlPr defaultSize="0" autoLine="0" altText="Button, click to reset the current values for the proportion of incident chlamydia cases that get diagnosed among females and males" r:id="rId47">
            <anchor moveWithCells="1">
              <from>
                <xdr:col>6</xdr:col>
                <xdr:colOff>144780</xdr:colOff>
                <xdr:row>269</xdr:row>
                <xdr:rowOff>144780</xdr:rowOff>
              </from>
              <to>
                <xdr:col>8</xdr:col>
                <xdr:colOff>144780</xdr:colOff>
                <xdr:row>273</xdr:row>
                <xdr:rowOff>83820</xdr:rowOff>
              </to>
            </anchor>
          </controlPr>
        </control>
      </mc:Choice>
      <mc:Fallback>
        <control shapeId="38939" r:id="rId46" name="CommandButton25"/>
      </mc:Fallback>
    </mc:AlternateContent>
    <mc:AlternateContent xmlns:mc="http://schemas.openxmlformats.org/markup-compatibility/2006">
      <mc:Choice Requires="x14">
        <control shapeId="38940" r:id="rId48" name="CommandButton26">
          <controlPr defaultSize="0" autoLine="0" altText="Button, click to use default values for the proportion of incident cases that get diagnosed for gonorrhea among females and males" r:id="rId49">
            <anchor moveWithCells="1">
              <from>
                <xdr:col>3</xdr:col>
                <xdr:colOff>563880</xdr:colOff>
                <xdr:row>227</xdr:row>
                <xdr:rowOff>38100</xdr:rowOff>
              </from>
              <to>
                <xdr:col>5</xdr:col>
                <xdr:colOff>1325880</xdr:colOff>
                <xdr:row>230</xdr:row>
                <xdr:rowOff>137160</xdr:rowOff>
              </to>
            </anchor>
          </controlPr>
        </control>
      </mc:Choice>
      <mc:Fallback>
        <control shapeId="38940" r:id="rId48" name="CommandButton26"/>
      </mc:Fallback>
    </mc:AlternateContent>
    <mc:AlternateContent xmlns:mc="http://schemas.openxmlformats.org/markup-compatibility/2006">
      <mc:Choice Requires="x14">
        <control shapeId="38941" r:id="rId50" name="CommandButton27">
          <controlPr defaultSize="0" autoLine="0" altText="Button, click to reset current values for the proportion of incident cases that get diagnosed for gonorrhea among females and males" r:id="rId51">
            <anchor moveWithCells="1">
              <from>
                <xdr:col>6</xdr:col>
                <xdr:colOff>144780</xdr:colOff>
                <xdr:row>227</xdr:row>
                <xdr:rowOff>38100</xdr:rowOff>
              </from>
              <to>
                <xdr:col>8</xdr:col>
                <xdr:colOff>144780</xdr:colOff>
                <xdr:row>230</xdr:row>
                <xdr:rowOff>137160</xdr:rowOff>
              </to>
            </anchor>
          </controlPr>
        </control>
      </mc:Choice>
      <mc:Fallback>
        <control shapeId="38941" r:id="rId50" name="CommandButton27"/>
      </mc:Fallback>
    </mc:AlternateContent>
    <mc:AlternateContent xmlns:mc="http://schemas.openxmlformats.org/markup-compatibility/2006">
      <mc:Choice Requires="x14">
        <control shapeId="38942" r:id="rId52" name="CommandButton28">
          <controlPr defaultSize="0" autoLine="0" altText="Button, click to use default values the average duration of infection for gonorrhea in years among females and males" r:id="rId53">
            <anchor moveWithCells="1">
              <from>
                <xdr:col>3</xdr:col>
                <xdr:colOff>563880</xdr:colOff>
                <xdr:row>240</xdr:row>
                <xdr:rowOff>144780</xdr:rowOff>
              </from>
              <to>
                <xdr:col>5</xdr:col>
                <xdr:colOff>1325880</xdr:colOff>
                <xdr:row>244</xdr:row>
                <xdr:rowOff>83820</xdr:rowOff>
              </to>
            </anchor>
          </controlPr>
        </control>
      </mc:Choice>
      <mc:Fallback>
        <control shapeId="38942" r:id="rId52" name="CommandButton28"/>
      </mc:Fallback>
    </mc:AlternateContent>
    <mc:AlternateContent xmlns:mc="http://schemas.openxmlformats.org/markup-compatibility/2006">
      <mc:Choice Requires="x14">
        <control shapeId="38943" r:id="rId54" name="CommandButton29">
          <controlPr defaultSize="0" autoLine="0" altText="Button, click to reset the current values the average duration of infection for gonorrhea in years among females and males" r:id="rId55">
            <anchor moveWithCells="1">
              <from>
                <xdr:col>6</xdr:col>
                <xdr:colOff>144780</xdr:colOff>
                <xdr:row>240</xdr:row>
                <xdr:rowOff>144780</xdr:rowOff>
              </from>
              <to>
                <xdr:col>8</xdr:col>
                <xdr:colOff>144780</xdr:colOff>
                <xdr:row>244</xdr:row>
                <xdr:rowOff>83820</xdr:rowOff>
              </to>
            </anchor>
          </controlPr>
        </control>
      </mc:Choice>
      <mc:Fallback>
        <control shapeId="38943" r:id="rId54" name="CommandButton29"/>
      </mc:Fallback>
    </mc:AlternateContent>
    <mc:AlternateContent xmlns:mc="http://schemas.openxmlformats.org/markup-compatibility/2006">
      <mc:Choice Requires="x14">
        <control shapeId="38947" r:id="rId56" name="CommandButton5">
          <controlPr defaultSize="0" autoLine="0" altText="button, click to set the default values for the proportion of adolescents from step 1 that attend high school by sex and age group" r:id="rId57">
            <anchor moveWithCells="1">
              <from>
                <xdr:col>10</xdr:col>
                <xdr:colOff>289560</xdr:colOff>
                <xdr:row>30</xdr:row>
                <xdr:rowOff>76200</xdr:rowOff>
              </from>
              <to>
                <xdr:col>11</xdr:col>
                <xdr:colOff>594360</xdr:colOff>
                <xdr:row>33</xdr:row>
                <xdr:rowOff>83820</xdr:rowOff>
              </to>
            </anchor>
          </controlPr>
        </control>
      </mc:Choice>
      <mc:Fallback>
        <control shapeId="38947" r:id="rId56" name="CommandButton5"/>
      </mc:Fallback>
    </mc:AlternateContent>
    <mc:AlternateContent xmlns:mc="http://schemas.openxmlformats.org/markup-compatibility/2006">
      <mc:Choice Requires="x14">
        <control shapeId="38948" r:id="rId58" name="CommandButton17">
          <controlPr defaultSize="0" autoLine="0" altText="button, click to reset the current values for the proportion of adolescents from step 1 that attend high school by sex and age group" r:id="rId59">
            <anchor moveWithCells="1">
              <from>
                <xdr:col>12</xdr:col>
                <xdr:colOff>137160</xdr:colOff>
                <xdr:row>30</xdr:row>
                <xdr:rowOff>76200</xdr:rowOff>
              </from>
              <to>
                <xdr:col>12</xdr:col>
                <xdr:colOff>1356360</xdr:colOff>
                <xdr:row>33</xdr:row>
                <xdr:rowOff>83820</xdr:rowOff>
              </to>
            </anchor>
          </controlPr>
        </control>
      </mc:Choice>
      <mc:Fallback>
        <control shapeId="38948" r:id="rId58" name="CommandButton17"/>
      </mc:Fallback>
    </mc:AlternateContent>
    <mc:AlternateContent xmlns:mc="http://schemas.openxmlformats.org/markup-compatibility/2006">
      <mc:Choice Requires="x14">
        <control shapeId="38949" r:id="rId60" name="CommandButton18">
          <controlPr defaultSize="0" autoLine="0" altText="Button, click to use the default value for the proportion of adolescent MSM living with HIV are aware of their status. " r:id="rId61">
            <anchor moveWithCells="1">
              <from>
                <xdr:col>8</xdr:col>
                <xdr:colOff>449580</xdr:colOff>
                <xdr:row>281</xdr:row>
                <xdr:rowOff>152400</xdr:rowOff>
              </from>
              <to>
                <xdr:col>10</xdr:col>
                <xdr:colOff>121920</xdr:colOff>
                <xdr:row>283</xdr:row>
                <xdr:rowOff>160020</xdr:rowOff>
              </to>
            </anchor>
          </controlPr>
        </control>
      </mc:Choice>
      <mc:Fallback>
        <control shapeId="38949" r:id="rId60" name="CommandButton18"/>
      </mc:Fallback>
    </mc:AlternateContent>
    <mc:AlternateContent xmlns:mc="http://schemas.openxmlformats.org/markup-compatibility/2006">
      <mc:Choice Requires="x14">
        <control shapeId="38950" r:id="rId62" name="CommandButton19">
          <controlPr defaultSize="0" autoLine="0" altText="Button, click to reset the current value for the proportion of adolescent MSM living with HIV are aware of their status. " r:id="rId63">
            <anchor moveWithCells="1">
              <from>
                <xdr:col>10</xdr:col>
                <xdr:colOff>312420</xdr:colOff>
                <xdr:row>281</xdr:row>
                <xdr:rowOff>152400</xdr:rowOff>
              </from>
              <to>
                <xdr:col>12</xdr:col>
                <xdr:colOff>175260</xdr:colOff>
                <xdr:row>283</xdr:row>
                <xdr:rowOff>160020</xdr:rowOff>
              </to>
            </anchor>
          </controlPr>
        </control>
      </mc:Choice>
      <mc:Fallback>
        <control shapeId="38950" r:id="rId62" name="CommandButton19"/>
      </mc:Fallback>
    </mc:AlternateContent>
    <mc:AlternateContent xmlns:mc="http://schemas.openxmlformats.org/markup-compatibility/2006">
      <mc:Choice Requires="x14">
        <control shapeId="38951" r:id="rId64" name="CommandButton20">
          <controlPr defaultSize="0" autoLine="0" altText="Button, click to use default value for the ratio between prevalence and incidence of diagnosed HIV infection among adolescent MSM" r:id="rId65">
            <anchor moveWithCells="1">
              <from>
                <xdr:col>8</xdr:col>
                <xdr:colOff>449580</xdr:colOff>
                <xdr:row>286</xdr:row>
                <xdr:rowOff>144780</xdr:rowOff>
              </from>
              <to>
                <xdr:col>10</xdr:col>
                <xdr:colOff>121920</xdr:colOff>
                <xdr:row>288</xdr:row>
                <xdr:rowOff>152400</xdr:rowOff>
              </to>
            </anchor>
          </controlPr>
        </control>
      </mc:Choice>
      <mc:Fallback>
        <control shapeId="38951" r:id="rId64" name="CommandButton20"/>
      </mc:Fallback>
    </mc:AlternateContent>
    <mc:AlternateContent xmlns:mc="http://schemas.openxmlformats.org/markup-compatibility/2006">
      <mc:Choice Requires="x14">
        <control shapeId="38952" r:id="rId66" name="CommandButton30">
          <controlPr defaultSize="0" autoLine="0" altText="Button, click to reset the current value  for the ratio between prevalence and incidence of diagnosed HIV infection among adolescent MSM" r:id="rId67">
            <anchor moveWithCells="1">
              <from>
                <xdr:col>10</xdr:col>
                <xdr:colOff>304800</xdr:colOff>
                <xdr:row>286</xdr:row>
                <xdr:rowOff>144780</xdr:rowOff>
              </from>
              <to>
                <xdr:col>12</xdr:col>
                <xdr:colOff>175260</xdr:colOff>
                <xdr:row>288</xdr:row>
                <xdr:rowOff>152400</xdr:rowOff>
              </to>
            </anchor>
          </controlPr>
        </control>
      </mc:Choice>
      <mc:Fallback>
        <control shapeId="38952" r:id="rId66" name="CommandButton30"/>
      </mc:Fallback>
    </mc:AlternateContent>
  </control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B2:O60"/>
  <sheetViews>
    <sheetView zoomScale="80" zoomScaleNormal="80" workbookViewId="0"/>
  </sheetViews>
  <sheetFormatPr defaultColWidth="9.109375" defaultRowHeight="14.4"/>
  <cols>
    <col min="1" max="1" width="10.5546875" style="1" customWidth="1"/>
    <col min="2" max="5" width="9.109375" style="1"/>
    <col min="6" max="6" width="19.88671875" style="1" customWidth="1"/>
    <col min="7" max="7" width="13.109375" style="1" customWidth="1"/>
    <col min="8" max="8" width="12.33203125" style="1" customWidth="1"/>
    <col min="9" max="9" width="11.6640625" style="1" customWidth="1"/>
    <col min="10" max="10" width="13" style="1" customWidth="1"/>
    <col min="11" max="16384" width="9.109375" style="1"/>
  </cols>
  <sheetData>
    <row r="2" spans="2:4" ht="18.600000000000001">
      <c r="B2" s="45"/>
    </row>
    <row r="4" spans="2:4" ht="24.6">
      <c r="B4" s="12" t="s">
        <v>55</v>
      </c>
    </row>
    <row r="5" spans="2:4" ht="21.75" customHeight="1"/>
    <row r="6" spans="2:4" ht="20.25" customHeight="1">
      <c r="B6" s="727" t="s">
        <v>54</v>
      </c>
      <c r="C6" s="727"/>
      <c r="D6" s="727"/>
    </row>
    <row r="18" spans="3:12">
      <c r="D18" s="4"/>
      <c r="E18" s="4"/>
      <c r="F18" s="3"/>
      <c r="G18" s="3"/>
      <c r="H18" s="3"/>
      <c r="I18" s="3"/>
    </row>
    <row r="19" spans="3:12" ht="15" thickBot="1">
      <c r="C19" s="38" t="s">
        <v>16</v>
      </c>
      <c r="D19" s="36" t="s">
        <v>17</v>
      </c>
      <c r="E19" s="37"/>
      <c r="F19" s="36"/>
      <c r="G19" s="36"/>
      <c r="H19" s="37"/>
      <c r="I19" s="37"/>
      <c r="J19" s="37"/>
      <c r="K19" s="37"/>
      <c r="L19" s="37"/>
    </row>
    <row r="20" spans="3:12" ht="15" thickTop="1">
      <c r="D20" s="4"/>
      <c r="E20" s="4"/>
      <c r="F20" s="3"/>
      <c r="G20" s="3"/>
      <c r="H20" s="3"/>
      <c r="I20" s="3"/>
    </row>
    <row r="21" spans="3:12">
      <c r="D21" s="4"/>
      <c r="E21" s="4"/>
      <c r="F21" s="3"/>
      <c r="H21" s="5" t="s">
        <v>7</v>
      </c>
      <c r="J21" s="6"/>
    </row>
    <row r="22" spans="3:12">
      <c r="D22" s="4"/>
      <c r="E22" s="4"/>
      <c r="F22" s="3"/>
      <c r="G22" s="5" t="s">
        <v>4</v>
      </c>
      <c r="H22" s="5" t="s">
        <v>5</v>
      </c>
      <c r="I22" s="5" t="s">
        <v>6</v>
      </c>
      <c r="J22" s="6"/>
    </row>
    <row r="23" spans="3:12">
      <c r="D23" s="4"/>
      <c r="E23" s="4"/>
      <c r="F23" s="33" t="s">
        <v>12</v>
      </c>
      <c r="G23" s="13">
        <v>6000000</v>
      </c>
      <c r="H23" s="13">
        <v>4000000</v>
      </c>
      <c r="I23" s="13">
        <v>2000000</v>
      </c>
    </row>
    <row r="24" spans="3:12">
      <c r="D24" s="4"/>
      <c r="E24" s="4"/>
      <c r="F24" s="27" t="s">
        <v>13</v>
      </c>
      <c r="G24" s="13">
        <v>6000000</v>
      </c>
      <c r="H24" s="13">
        <v>4000000</v>
      </c>
      <c r="I24" s="13">
        <v>2000000</v>
      </c>
    </row>
    <row r="25" spans="3:12">
      <c r="D25" s="4"/>
      <c r="E25" s="4"/>
      <c r="F25" s="28"/>
      <c r="G25" s="30"/>
      <c r="H25" s="31"/>
      <c r="I25" s="31"/>
    </row>
    <row r="26" spans="3:12">
      <c r="D26" s="4"/>
      <c r="E26" s="4"/>
      <c r="F26" s="27" t="s">
        <v>15</v>
      </c>
      <c r="G26" s="41">
        <f>G23+G24</f>
        <v>12000000</v>
      </c>
      <c r="H26" s="41">
        <f>H23+H24</f>
        <v>8000000</v>
      </c>
      <c r="I26" s="41">
        <f>I23+I24</f>
        <v>4000000</v>
      </c>
      <c r="J26" s="42">
        <f>G26+H26+I26</f>
        <v>24000000</v>
      </c>
    </row>
    <row r="27" spans="3:12">
      <c r="D27" s="4"/>
      <c r="E27" s="4"/>
      <c r="F27" s="27"/>
      <c r="G27" s="34"/>
      <c r="H27" s="34"/>
      <c r="I27" s="34"/>
      <c r="J27" s="14"/>
    </row>
    <row r="28" spans="3:12">
      <c r="D28" s="4"/>
      <c r="E28" s="4"/>
      <c r="F28" s="27"/>
      <c r="G28" s="34"/>
      <c r="H28" s="34"/>
      <c r="I28" s="34"/>
      <c r="J28" s="14"/>
    </row>
    <row r="29" spans="3:12" ht="15" thickBot="1">
      <c r="C29" s="36" t="s">
        <v>19</v>
      </c>
      <c r="D29" s="36" t="s">
        <v>20</v>
      </c>
      <c r="E29" s="36"/>
      <c r="F29" s="36"/>
      <c r="G29" s="36"/>
      <c r="H29" s="37"/>
      <c r="I29" s="37"/>
      <c r="J29" s="37"/>
      <c r="K29" s="37"/>
      <c r="L29" s="37"/>
    </row>
    <row r="30" spans="3:12" ht="15" thickTop="1">
      <c r="D30" s="3"/>
      <c r="E30" s="3"/>
      <c r="F30" s="35" t="s">
        <v>21</v>
      </c>
      <c r="G30" s="3"/>
      <c r="H30" s="3"/>
      <c r="I30" s="3"/>
    </row>
    <row r="31" spans="3:12">
      <c r="D31" s="3"/>
      <c r="E31" s="3"/>
      <c r="F31" s="3"/>
      <c r="G31" s="3"/>
      <c r="H31" s="3"/>
      <c r="I31" s="3"/>
    </row>
    <row r="32" spans="3:12">
      <c r="D32" s="3"/>
      <c r="G32" s="43">
        <v>0.03</v>
      </c>
      <c r="H32" s="5" t="s">
        <v>0</v>
      </c>
      <c r="I32" s="3" t="s">
        <v>68</v>
      </c>
    </row>
    <row r="33" spans="3:13">
      <c r="D33" s="3"/>
      <c r="G33" s="43">
        <v>0.97</v>
      </c>
      <c r="H33" s="5" t="s">
        <v>1</v>
      </c>
      <c r="I33" s="3" t="s">
        <v>69</v>
      </c>
    </row>
    <row r="34" spans="3:13">
      <c r="D34" s="3"/>
      <c r="G34" s="44"/>
      <c r="H34" s="5"/>
      <c r="I34" s="3"/>
    </row>
    <row r="35" spans="3:13">
      <c r="D35" s="3"/>
      <c r="G35" s="43">
        <v>0.97</v>
      </c>
      <c r="H35" s="5" t="s">
        <v>56</v>
      </c>
      <c r="I35" s="3" t="s">
        <v>70</v>
      </c>
    </row>
    <row r="36" spans="3:13">
      <c r="D36" s="3"/>
      <c r="G36" s="43">
        <v>0.03</v>
      </c>
      <c r="H36" s="5" t="s">
        <v>2</v>
      </c>
      <c r="I36" s="3" t="s">
        <v>71</v>
      </c>
    </row>
    <row r="37" spans="3:13">
      <c r="D37" s="3"/>
      <c r="G37" s="26"/>
      <c r="H37" s="5"/>
      <c r="J37" s="35" t="s">
        <v>47</v>
      </c>
    </row>
    <row r="39" spans="3:13" ht="15" thickBot="1">
      <c r="E39" s="36" t="s">
        <v>22</v>
      </c>
      <c r="F39" s="36" t="s">
        <v>23</v>
      </c>
      <c r="G39" s="37"/>
      <c r="H39" s="37"/>
      <c r="I39" s="37"/>
      <c r="J39" s="37"/>
      <c r="K39" s="37"/>
      <c r="L39" s="37"/>
    </row>
    <row r="40" spans="3:13" ht="15" thickTop="1">
      <c r="F40" s="35" t="s">
        <v>21</v>
      </c>
    </row>
    <row r="41" spans="3:13">
      <c r="F41" s="35"/>
    </row>
    <row r="42" spans="3:13">
      <c r="F42" s="3"/>
      <c r="H42" s="5" t="s">
        <v>7</v>
      </c>
      <c r="J42" s="6"/>
    </row>
    <row r="43" spans="3:13">
      <c r="F43" s="3"/>
      <c r="G43" s="5" t="s">
        <v>4</v>
      </c>
      <c r="H43" s="5" t="s">
        <v>5</v>
      </c>
      <c r="I43" s="5" t="s">
        <v>6</v>
      </c>
      <c r="J43" s="6"/>
    </row>
    <row r="44" spans="3:13">
      <c r="F44" s="33" t="s">
        <v>65</v>
      </c>
      <c r="G44" s="9">
        <v>0.33700000000000002</v>
      </c>
      <c r="H44" s="9">
        <v>0.53300000000000003</v>
      </c>
      <c r="I44" s="9">
        <v>0.67100000000000004</v>
      </c>
    </row>
    <row r="45" spans="3:13">
      <c r="F45" s="27" t="s">
        <v>66</v>
      </c>
      <c r="G45" s="9">
        <v>0.25700000000000001</v>
      </c>
      <c r="H45" s="9">
        <v>0.47499999999999998</v>
      </c>
      <c r="I45" s="9">
        <v>0.56699999999999995</v>
      </c>
    </row>
    <row r="46" spans="3:13">
      <c r="F46" s="28" t="s">
        <v>67</v>
      </c>
      <c r="G46" s="13">
        <v>0.21099999999999999</v>
      </c>
      <c r="H46" s="9">
        <v>0.46200000000000002</v>
      </c>
      <c r="I46" s="9">
        <v>0.59699999999999998</v>
      </c>
    </row>
    <row r="47" spans="3:13">
      <c r="F47" s="28"/>
      <c r="G47" s="24"/>
      <c r="H47" s="25"/>
      <c r="I47" s="25"/>
      <c r="J47" s="32"/>
    </row>
    <row r="48" spans="3:13" ht="15" thickBot="1">
      <c r="C48" s="37"/>
      <c r="D48" s="37"/>
      <c r="E48" s="37"/>
      <c r="F48" s="39"/>
      <c r="G48" s="40"/>
      <c r="H48" s="40"/>
      <c r="I48" s="40"/>
      <c r="J48" s="36"/>
      <c r="K48" s="37"/>
      <c r="L48" s="37"/>
      <c r="M48" s="37"/>
    </row>
    <row r="49" spans="5:15" ht="15" customHeight="1" thickTop="1"/>
    <row r="50" spans="5:15">
      <c r="O50" s="7"/>
    </row>
    <row r="51" spans="5:15">
      <c r="E51" s="3" t="s">
        <v>24</v>
      </c>
      <c r="O51" s="7"/>
    </row>
    <row r="54" spans="5:15">
      <c r="F54" s="3"/>
      <c r="H54" s="5" t="s">
        <v>7</v>
      </c>
      <c r="J54" s="6"/>
    </row>
    <row r="55" spans="5:15">
      <c r="F55" s="3"/>
      <c r="G55" s="5" t="s">
        <v>4</v>
      </c>
      <c r="H55" s="5" t="s">
        <v>5</v>
      </c>
      <c r="I55" s="5" t="s">
        <v>6</v>
      </c>
      <c r="J55" s="6"/>
    </row>
    <row r="56" spans="5:15">
      <c r="F56" s="33" t="s">
        <v>65</v>
      </c>
      <c r="G56" s="42">
        <v>60660.000000000007</v>
      </c>
      <c r="H56" s="42">
        <v>63960</v>
      </c>
      <c r="I56" s="42">
        <v>40260</v>
      </c>
    </row>
    <row r="57" spans="5:15">
      <c r="F57" s="27" t="s">
        <v>66</v>
      </c>
      <c r="G57" s="42">
        <v>1495740</v>
      </c>
      <c r="H57" s="42">
        <v>1843000</v>
      </c>
      <c r="I57" s="42">
        <v>1099980</v>
      </c>
    </row>
    <row r="58" spans="5:15">
      <c r="F58" s="28" t="s">
        <v>67</v>
      </c>
      <c r="G58" s="41">
        <v>1495740</v>
      </c>
      <c r="H58" s="42">
        <v>1843000</v>
      </c>
      <c r="I58" s="42">
        <v>1099980</v>
      </c>
    </row>
    <row r="59" spans="5:15" ht="42">
      <c r="F59" s="28"/>
      <c r="G59" s="30"/>
      <c r="H59" s="31"/>
      <c r="I59" s="31"/>
      <c r="J59" s="8" t="s">
        <v>18</v>
      </c>
    </row>
    <row r="60" spans="5:15">
      <c r="F60" s="29" t="s">
        <v>14</v>
      </c>
      <c r="G60" s="41">
        <f>G56+G58+G57</f>
        <v>3052140</v>
      </c>
      <c r="H60" s="41">
        <f>H56+H58+H57</f>
        <v>3749960</v>
      </c>
      <c r="I60" s="41">
        <f>I56+I58+I57</f>
        <v>2240220</v>
      </c>
      <c r="J60" s="42">
        <f>G60+H60+I60</f>
        <v>9042320</v>
      </c>
    </row>
  </sheetData>
  <mergeCells count="1">
    <mergeCell ref="B6:D6"/>
  </mergeCells>
  <pageMargins left="0.7" right="0.7" top="0.75" bottom="0.75" header="0.3" footer="0.3"/>
  <drawing r:id="rId1"/>
  <legacyDrawing r:id="rId2"/>
  <controls>
    <mc:AlternateContent xmlns:mc="http://schemas.openxmlformats.org/markup-compatibility/2006">
      <mc:Choice Requires="x14">
        <control shapeId="18441" r:id="rId3" name="CheckBox1">
          <controlPr defaultSize="0" autoLine="0" r:id="rId4">
            <anchor moveWithCells="1">
              <from>
                <xdr:col>0</xdr:col>
                <xdr:colOff>495300</xdr:colOff>
                <xdr:row>6</xdr:row>
                <xdr:rowOff>76200</xdr:rowOff>
              </from>
              <to>
                <xdr:col>4</xdr:col>
                <xdr:colOff>152400</xdr:colOff>
                <xdr:row>10</xdr:row>
                <xdr:rowOff>99060</xdr:rowOff>
              </to>
            </anchor>
          </controlPr>
        </control>
      </mc:Choice>
      <mc:Fallback>
        <control shapeId="18441" r:id="rId3" name="CheckBox1"/>
      </mc:Fallback>
    </mc:AlternateContent>
    <mc:AlternateContent xmlns:mc="http://schemas.openxmlformats.org/markup-compatibility/2006">
      <mc:Choice Requires="x14">
        <control shapeId="18440" r:id="rId5" name="CommandButton8">
          <controlPr defaultSize="0" autoLine="0" r:id="rId6">
            <anchor moveWithCells="1">
              <from>
                <xdr:col>1</xdr:col>
                <xdr:colOff>213360</xdr:colOff>
                <xdr:row>42</xdr:row>
                <xdr:rowOff>0</xdr:rowOff>
              </from>
              <to>
                <xdr:col>3</xdr:col>
                <xdr:colOff>106680</xdr:colOff>
                <xdr:row>44</xdr:row>
                <xdr:rowOff>160020</xdr:rowOff>
              </to>
            </anchor>
          </controlPr>
        </control>
      </mc:Choice>
      <mc:Fallback>
        <control shapeId="18440" r:id="rId5" name="CommandButton8"/>
      </mc:Fallback>
    </mc:AlternateContent>
    <mc:AlternateContent xmlns:mc="http://schemas.openxmlformats.org/markup-compatibility/2006">
      <mc:Choice Requires="x14">
        <control shapeId="18439" r:id="rId7" name="CommandButton7">
          <controlPr defaultSize="0" autoLine="0" r:id="rId8">
            <anchor moveWithCells="1">
              <from>
                <xdr:col>2</xdr:col>
                <xdr:colOff>419100</xdr:colOff>
                <xdr:row>32</xdr:row>
                <xdr:rowOff>30480</xdr:rowOff>
              </from>
              <to>
                <xdr:col>4</xdr:col>
                <xdr:colOff>312420</xdr:colOff>
                <xdr:row>35</xdr:row>
                <xdr:rowOff>7620</xdr:rowOff>
              </to>
            </anchor>
          </controlPr>
        </control>
      </mc:Choice>
      <mc:Fallback>
        <control shapeId="18439" r:id="rId7" name="CommandButton7"/>
      </mc:Fallback>
    </mc:AlternateContent>
    <mc:AlternateContent xmlns:mc="http://schemas.openxmlformats.org/markup-compatibility/2006">
      <mc:Choice Requires="x14">
        <control shapeId="18438" r:id="rId9" name="CommandButton6">
          <controlPr defaultSize="0" autoLine="0" r:id="rId10">
            <anchor moveWithCells="1">
              <from>
                <xdr:col>1</xdr:col>
                <xdr:colOff>152400</xdr:colOff>
                <xdr:row>22</xdr:row>
                <xdr:rowOff>30480</xdr:rowOff>
              </from>
              <to>
                <xdr:col>3</xdr:col>
                <xdr:colOff>45720</xdr:colOff>
                <xdr:row>25</xdr:row>
                <xdr:rowOff>7620</xdr:rowOff>
              </to>
            </anchor>
          </controlPr>
        </control>
      </mc:Choice>
      <mc:Fallback>
        <control shapeId="18438" r:id="rId9" name="CommandButton6"/>
      </mc:Fallback>
    </mc:AlternateContent>
    <mc:AlternateContent xmlns:mc="http://schemas.openxmlformats.org/markup-compatibility/2006">
      <mc:Choice Requires="x14">
        <control shapeId="18437" r:id="rId11" name="CommandButton5">
          <controlPr defaultSize="0" autoLine="0" r:id="rId12">
            <anchor moveWithCells="1">
              <from>
                <xdr:col>5</xdr:col>
                <xdr:colOff>68580</xdr:colOff>
                <xdr:row>49</xdr:row>
                <xdr:rowOff>30480</xdr:rowOff>
              </from>
              <to>
                <xdr:col>7</xdr:col>
                <xdr:colOff>190500</xdr:colOff>
                <xdr:row>52</xdr:row>
                <xdr:rowOff>15240</xdr:rowOff>
              </to>
            </anchor>
          </controlPr>
        </control>
      </mc:Choice>
      <mc:Fallback>
        <control shapeId="18437" r:id="rId11" name="CommandButton5"/>
      </mc:Fallback>
    </mc:AlternateContent>
    <mc:AlternateContent xmlns:mc="http://schemas.openxmlformats.org/markup-compatibility/2006">
      <mc:Choice Requires="x14">
        <control shapeId="18436" r:id="rId13" name="CommandButton4">
          <controlPr defaultSize="0" autoLine="0" r:id="rId14">
            <anchor moveWithCells="1">
              <from>
                <xdr:col>3</xdr:col>
                <xdr:colOff>266700</xdr:colOff>
                <xdr:row>42</xdr:row>
                <xdr:rowOff>0</xdr:rowOff>
              </from>
              <to>
                <xdr:col>5</xdr:col>
                <xdr:colOff>266700</xdr:colOff>
                <xdr:row>44</xdr:row>
                <xdr:rowOff>167640</xdr:rowOff>
              </to>
            </anchor>
          </controlPr>
        </control>
      </mc:Choice>
      <mc:Fallback>
        <control shapeId="18436" r:id="rId13" name="CommandButton4"/>
      </mc:Fallback>
    </mc:AlternateContent>
    <mc:AlternateContent xmlns:mc="http://schemas.openxmlformats.org/markup-compatibility/2006">
      <mc:Choice Requires="x14">
        <control shapeId="18435" r:id="rId15" name="CommandButton3">
          <controlPr defaultSize="0" autoLine="0" r:id="rId16">
            <anchor moveWithCells="1">
              <from>
                <xdr:col>4</xdr:col>
                <xdr:colOff>457200</xdr:colOff>
                <xdr:row>32</xdr:row>
                <xdr:rowOff>22860</xdr:rowOff>
              </from>
              <to>
                <xdr:col>5</xdr:col>
                <xdr:colOff>1082040</xdr:colOff>
                <xdr:row>35</xdr:row>
                <xdr:rowOff>7620</xdr:rowOff>
              </to>
            </anchor>
          </controlPr>
        </control>
      </mc:Choice>
      <mc:Fallback>
        <control shapeId="18435" r:id="rId15" name="CommandButton3"/>
      </mc:Fallback>
    </mc:AlternateContent>
    <mc:AlternateContent xmlns:mc="http://schemas.openxmlformats.org/markup-compatibility/2006">
      <mc:Choice Requires="x14">
        <control shapeId="18434" r:id="rId17" name="CommandButton2">
          <controlPr defaultSize="0" autoLine="0" r:id="rId18">
            <anchor moveWithCells="1">
              <from>
                <xdr:col>3</xdr:col>
                <xdr:colOff>190500</xdr:colOff>
                <xdr:row>22</xdr:row>
                <xdr:rowOff>38100</xdr:rowOff>
              </from>
              <to>
                <xdr:col>5</xdr:col>
                <xdr:colOff>152400</xdr:colOff>
                <xdr:row>25</xdr:row>
                <xdr:rowOff>22860</xdr:rowOff>
              </to>
            </anchor>
          </controlPr>
        </control>
      </mc:Choice>
      <mc:Fallback>
        <control shapeId="18434" r:id="rId17" name="CommandButton2"/>
      </mc:Fallback>
    </mc:AlternateContent>
    <mc:AlternateContent xmlns:mc="http://schemas.openxmlformats.org/markup-compatibility/2006">
      <mc:Choice Requires="x14">
        <control shapeId="18442" r:id="rId19" name="CommandButton1">
          <controlPr defaultSize="0" autoLine="0" r:id="rId20">
            <anchor moveWithCells="1">
              <from>
                <xdr:col>14</xdr:col>
                <xdr:colOff>76200</xdr:colOff>
                <xdr:row>1</xdr:row>
                <xdr:rowOff>220980</xdr:rowOff>
              </from>
              <to>
                <xdr:col>17</xdr:col>
                <xdr:colOff>327660</xdr:colOff>
                <xdr:row>3</xdr:row>
                <xdr:rowOff>251460</xdr:rowOff>
              </to>
            </anchor>
          </controlPr>
        </control>
      </mc:Choice>
      <mc:Fallback>
        <control shapeId="18442" r:id="rId19" name="CommandButton1"/>
      </mc:Fallback>
    </mc:AlternateContent>
  </control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autoPageBreaks="0"/>
  </sheetPr>
  <dimension ref="A1:W56"/>
  <sheetViews>
    <sheetView zoomScale="80" zoomScaleNormal="80" workbookViewId="0"/>
  </sheetViews>
  <sheetFormatPr defaultColWidth="9.109375" defaultRowHeight="13.8"/>
  <cols>
    <col min="1" max="1" width="9.109375" style="197"/>
    <col min="2" max="2" width="9.109375" style="197" customWidth="1"/>
    <col min="3" max="3" width="23.6640625" style="197" customWidth="1"/>
    <col min="4" max="4" width="10.44140625" style="197" customWidth="1"/>
    <col min="5" max="6" width="9.109375" style="197"/>
    <col min="7" max="7" width="19.5546875" style="197" customWidth="1"/>
    <col min="8" max="16" width="14.6640625" style="197" customWidth="1"/>
    <col min="17" max="17" width="2" style="197" customWidth="1"/>
    <col min="18" max="18" width="9.109375" style="197"/>
    <col min="19" max="19" width="10.88671875" style="197" customWidth="1"/>
    <col min="20" max="21" width="9.109375" style="197"/>
    <col min="22" max="22" width="9.33203125" style="197" bestFit="1" customWidth="1"/>
    <col min="23" max="16384" width="9.109375" style="197"/>
  </cols>
  <sheetData>
    <row r="1" spans="1:23" ht="15" customHeight="1">
      <c r="A1" s="592"/>
      <c r="B1" s="593"/>
      <c r="C1" s="593"/>
      <c r="D1" s="593"/>
      <c r="E1" s="593"/>
      <c r="F1" s="593"/>
      <c r="G1" s="613"/>
      <c r="H1" s="590"/>
      <c r="I1" s="596" t="s">
        <v>73</v>
      </c>
      <c r="J1" s="598"/>
      <c r="K1" s="590"/>
      <c r="L1" s="590" t="s">
        <v>74</v>
      </c>
      <c r="M1" s="598"/>
      <c r="N1" s="590"/>
      <c r="O1" s="590" t="s">
        <v>75</v>
      </c>
      <c r="P1" s="590"/>
      <c r="Q1" s="195"/>
      <c r="R1" s="195"/>
      <c r="S1" s="195"/>
      <c r="T1" s="195"/>
      <c r="U1" s="195"/>
      <c r="V1" s="195"/>
      <c r="W1" s="196"/>
    </row>
    <row r="2" spans="1:23" ht="15" customHeight="1">
      <c r="A2" s="594"/>
      <c r="B2" s="408"/>
      <c r="C2" s="632" t="s">
        <v>72</v>
      </c>
      <c r="D2" s="408"/>
      <c r="E2" s="408"/>
      <c r="F2" s="408"/>
      <c r="G2" s="614"/>
      <c r="H2" s="591"/>
      <c r="I2" s="597"/>
      <c r="J2" s="599"/>
      <c r="K2" s="591"/>
      <c r="L2" s="591"/>
      <c r="M2" s="599"/>
      <c r="N2" s="591"/>
      <c r="O2" s="591"/>
      <c r="P2" s="591"/>
      <c r="Q2" s="193"/>
      <c r="R2" s="193"/>
      <c r="S2" s="193"/>
      <c r="T2" s="193"/>
      <c r="U2" s="193"/>
      <c r="V2" s="193"/>
      <c r="W2" s="198"/>
    </row>
    <row r="3" spans="1:23" ht="15.75" customHeight="1" thickBot="1">
      <c r="A3" s="595"/>
      <c r="B3" s="219"/>
      <c r="C3" s="219"/>
      <c r="D3" s="219"/>
      <c r="E3" s="219"/>
      <c r="F3" s="219"/>
      <c r="G3" s="615"/>
      <c r="H3" s="113" t="s">
        <v>4</v>
      </c>
      <c r="I3" s="113" t="s">
        <v>5</v>
      </c>
      <c r="J3" s="600">
        <v>18</v>
      </c>
      <c r="K3" s="113" t="s">
        <v>4</v>
      </c>
      <c r="L3" s="113" t="s">
        <v>5</v>
      </c>
      <c r="M3" s="600">
        <v>18</v>
      </c>
      <c r="N3" s="113" t="s">
        <v>4</v>
      </c>
      <c r="O3" s="113" t="s">
        <v>5</v>
      </c>
      <c r="P3" s="113">
        <v>18</v>
      </c>
      <c r="Q3" s="193"/>
      <c r="R3" s="199"/>
      <c r="S3" s="200"/>
      <c r="T3" s="193"/>
      <c r="U3" s="193"/>
      <c r="V3" s="193"/>
      <c r="W3" s="198"/>
    </row>
    <row r="4" spans="1:23" ht="15.75" customHeight="1" thickBot="1">
      <c r="A4" s="640" t="s">
        <v>44</v>
      </c>
      <c r="B4" s="641"/>
      <c r="C4" s="193"/>
      <c r="D4" s="193"/>
      <c r="E4" s="193"/>
      <c r="F4" s="193"/>
      <c r="G4" s="611"/>
      <c r="H4" s="347"/>
      <c r="I4" s="347"/>
      <c r="J4" s="601"/>
      <c r="K4" s="347"/>
      <c r="L4" s="347"/>
      <c r="M4" s="450"/>
      <c r="N4" s="347"/>
      <c r="O4" s="347"/>
      <c r="P4" s="348"/>
      <c r="Q4" s="193"/>
      <c r="R4" s="287"/>
      <c r="S4" s="201"/>
      <c r="T4" s="456" t="s">
        <v>41</v>
      </c>
      <c r="U4" s="456"/>
      <c r="V4" s="457"/>
      <c r="W4" s="198"/>
    </row>
    <row r="5" spans="1:23" ht="15" customHeight="1" thickBot="1">
      <c r="A5" s="621"/>
      <c r="B5" s="616"/>
      <c r="C5" s="452" t="s">
        <v>164</v>
      </c>
      <c r="D5" s="453"/>
      <c r="E5" s="453"/>
      <c r="F5" s="453"/>
      <c r="G5" s="612"/>
      <c r="H5" s="454"/>
      <c r="I5" s="454"/>
      <c r="J5" s="602"/>
      <c r="K5" s="454"/>
      <c r="L5" s="454"/>
      <c r="M5" s="602"/>
      <c r="N5" s="454"/>
      <c r="O5" s="454"/>
      <c r="P5" s="455"/>
      <c r="Q5" s="193"/>
      <c r="R5" s="287"/>
      <c r="S5" s="205"/>
      <c r="T5" s="458" t="s">
        <v>40</v>
      </c>
      <c r="U5" s="458"/>
      <c r="V5" s="459"/>
      <c r="W5" s="198"/>
    </row>
    <row r="6" spans="1:23" ht="14.4" thickBot="1">
      <c r="A6" s="624"/>
      <c r="B6" s="618"/>
      <c r="C6" s="218" t="s">
        <v>165</v>
      </c>
      <c r="D6" s="193" t="s">
        <v>28</v>
      </c>
      <c r="E6" s="193" t="s">
        <v>29</v>
      </c>
      <c r="F6" s="193" t="s">
        <v>30</v>
      </c>
      <c r="G6" s="221" t="s">
        <v>163</v>
      </c>
      <c r="H6" s="202"/>
      <c r="I6" s="202"/>
      <c r="J6" s="603"/>
      <c r="K6" s="216"/>
      <c r="L6" s="216"/>
      <c r="M6" s="606"/>
      <c r="N6" s="203"/>
      <c r="O6" s="203"/>
      <c r="P6" s="204"/>
      <c r="Q6" s="193"/>
      <c r="S6" s="209"/>
      <c r="T6" s="210" t="s">
        <v>134</v>
      </c>
      <c r="U6" s="210"/>
      <c r="V6" s="211"/>
      <c r="W6" s="198"/>
    </row>
    <row r="7" spans="1:23">
      <c r="A7" s="622" t="s">
        <v>241</v>
      </c>
      <c r="B7" s="618"/>
      <c r="C7" s="218" t="s">
        <v>165</v>
      </c>
      <c r="D7" s="193" t="s">
        <v>32</v>
      </c>
      <c r="E7" s="193" t="s">
        <v>30</v>
      </c>
      <c r="F7" s="193" t="s">
        <v>29</v>
      </c>
      <c r="G7" s="221" t="s">
        <v>163</v>
      </c>
      <c r="H7" s="206"/>
      <c r="I7" s="206"/>
      <c r="J7" s="604"/>
      <c r="K7" s="206"/>
      <c r="L7" s="206"/>
      <c r="M7" s="604"/>
      <c r="N7" s="207"/>
      <c r="O7" s="207"/>
      <c r="P7" s="208"/>
      <c r="Q7" s="193"/>
      <c r="R7" s="193"/>
      <c r="S7" s="193"/>
      <c r="T7" s="193"/>
      <c r="U7" s="193"/>
      <c r="V7" s="193"/>
      <c r="W7" s="198"/>
    </row>
    <row r="8" spans="1:23">
      <c r="A8" s="622" t="s">
        <v>242</v>
      </c>
      <c r="B8" s="618"/>
      <c r="C8" s="218" t="s">
        <v>165</v>
      </c>
      <c r="D8" s="193" t="s">
        <v>28</v>
      </c>
      <c r="E8" s="193" t="s">
        <v>29</v>
      </c>
      <c r="F8" s="193" t="s">
        <v>33</v>
      </c>
      <c r="G8" s="221" t="s">
        <v>163</v>
      </c>
      <c r="H8" s="206"/>
      <c r="I8" s="206"/>
      <c r="J8" s="604"/>
      <c r="K8" s="207"/>
      <c r="L8" s="207"/>
      <c r="M8" s="609"/>
      <c r="N8" s="207"/>
      <c r="O8" s="207"/>
      <c r="P8" s="208"/>
      <c r="Q8" s="193"/>
      <c r="R8" s="193"/>
      <c r="S8" s="193"/>
      <c r="T8" s="193"/>
      <c r="U8" s="193"/>
      <c r="V8" s="193"/>
      <c r="W8" s="198"/>
    </row>
    <row r="9" spans="1:23" ht="14.4" thickBot="1">
      <c r="A9" s="623"/>
      <c r="B9" s="618"/>
      <c r="C9" s="239" t="s">
        <v>165</v>
      </c>
      <c r="D9" s="194" t="s">
        <v>32</v>
      </c>
      <c r="E9" s="194" t="s">
        <v>33</v>
      </c>
      <c r="F9" s="194" t="s">
        <v>29</v>
      </c>
      <c r="G9" s="221" t="s">
        <v>163</v>
      </c>
      <c r="H9" s="213"/>
      <c r="I9" s="213"/>
      <c r="J9" s="605"/>
      <c r="K9" s="214"/>
      <c r="L9" s="214"/>
      <c r="M9" s="610"/>
      <c r="N9" s="214"/>
      <c r="O9" s="214"/>
      <c r="P9" s="215"/>
      <c r="Q9" s="193"/>
      <c r="R9" s="193"/>
      <c r="S9" s="193"/>
      <c r="T9" s="193"/>
      <c r="U9" s="193"/>
      <c r="V9" s="193"/>
      <c r="W9" s="198"/>
    </row>
    <row r="10" spans="1:23">
      <c r="A10" s="622" t="s">
        <v>243</v>
      </c>
      <c r="B10" s="618"/>
      <c r="C10" s="451" t="s">
        <v>34</v>
      </c>
      <c r="D10" s="193" t="s">
        <v>28</v>
      </c>
      <c r="E10" s="193" t="s">
        <v>29</v>
      </c>
      <c r="F10" s="193" t="s">
        <v>30</v>
      </c>
      <c r="G10" s="238" t="s">
        <v>35</v>
      </c>
      <c r="H10" s="216"/>
      <c r="I10" s="216"/>
      <c r="J10" s="606"/>
      <c r="K10" s="202"/>
      <c r="L10" s="202"/>
      <c r="M10" s="603"/>
      <c r="N10" s="447"/>
      <c r="O10" s="447"/>
      <c r="P10" s="449"/>
      <c r="Q10" s="193"/>
      <c r="R10" s="193"/>
      <c r="S10" s="193"/>
      <c r="T10" s="193"/>
      <c r="U10" s="193"/>
      <c r="V10" s="193"/>
      <c r="W10" s="198"/>
    </row>
    <row r="11" spans="1:23">
      <c r="A11" s="623" t="s">
        <v>244</v>
      </c>
      <c r="B11" s="618"/>
      <c r="C11" s="218" t="s">
        <v>34</v>
      </c>
      <c r="D11" s="193" t="s">
        <v>32</v>
      </c>
      <c r="E11" s="193" t="s">
        <v>30</v>
      </c>
      <c r="F11" s="193" t="s">
        <v>29</v>
      </c>
      <c r="G11" s="221" t="s">
        <v>35</v>
      </c>
      <c r="H11" s="447"/>
      <c r="I11" s="447"/>
      <c r="J11" s="607"/>
      <c r="K11" s="447"/>
      <c r="L11" s="447"/>
      <c r="M11" s="607"/>
      <c r="N11" s="216"/>
      <c r="O11" s="216"/>
      <c r="P11" s="217"/>
      <c r="Q11" s="193"/>
      <c r="R11" s="193"/>
      <c r="S11" s="193"/>
      <c r="T11" s="193"/>
      <c r="U11" s="193"/>
      <c r="V11" s="193"/>
      <c r="W11" s="198"/>
    </row>
    <row r="12" spans="1:23">
      <c r="A12" s="617"/>
      <c r="B12" s="618"/>
      <c r="C12" s="218" t="s">
        <v>34</v>
      </c>
      <c r="D12" s="193" t="s">
        <v>28</v>
      </c>
      <c r="E12" s="193" t="s">
        <v>29</v>
      </c>
      <c r="F12" s="193" t="s">
        <v>33</v>
      </c>
      <c r="G12" s="221" t="s">
        <v>35</v>
      </c>
      <c r="H12" s="447"/>
      <c r="I12" s="447"/>
      <c r="J12" s="607"/>
      <c r="K12" s="216"/>
      <c r="L12" s="216"/>
      <c r="M12" s="606"/>
      <c r="N12" s="216"/>
      <c r="O12" s="216"/>
      <c r="P12" s="217"/>
      <c r="Q12" s="193"/>
      <c r="R12" s="193"/>
      <c r="S12" s="193"/>
      <c r="T12" s="193"/>
      <c r="U12" s="193"/>
      <c r="V12" s="193"/>
      <c r="W12" s="198"/>
    </row>
    <row r="13" spans="1:23" ht="14.4" thickBot="1">
      <c r="A13" s="619"/>
      <c r="B13" s="620"/>
      <c r="C13" s="239" t="s">
        <v>34</v>
      </c>
      <c r="D13" s="194" t="s">
        <v>32</v>
      </c>
      <c r="E13" s="194" t="s">
        <v>33</v>
      </c>
      <c r="F13" s="194" t="s">
        <v>29</v>
      </c>
      <c r="G13" s="212" t="s">
        <v>35</v>
      </c>
      <c r="H13" s="448"/>
      <c r="I13" s="448"/>
      <c r="J13" s="608"/>
      <c r="K13" s="214"/>
      <c r="L13" s="214"/>
      <c r="M13" s="610"/>
      <c r="N13" s="214"/>
      <c r="O13" s="214"/>
      <c r="P13" s="215"/>
      <c r="Q13" s="193"/>
      <c r="R13" s="193"/>
      <c r="S13" s="193"/>
      <c r="T13" s="193"/>
      <c r="U13" s="193"/>
      <c r="V13" s="193"/>
      <c r="W13" s="198"/>
    </row>
    <row r="14" spans="1:23">
      <c r="A14" s="218"/>
      <c r="B14" s="193"/>
      <c r="C14" s="193"/>
      <c r="D14" s="193"/>
      <c r="E14" s="193"/>
      <c r="F14" s="193"/>
      <c r="G14" s="193"/>
      <c r="H14" s="207"/>
      <c r="I14" s="207"/>
      <c r="J14" s="207"/>
      <c r="K14" s="207"/>
      <c r="L14" s="207"/>
      <c r="M14" s="207"/>
      <c r="N14" s="207"/>
      <c r="O14" s="207"/>
      <c r="P14" s="207"/>
      <c r="Q14" s="193"/>
      <c r="R14" s="193"/>
      <c r="S14" s="287"/>
      <c r="T14" s="287"/>
      <c r="U14" s="287"/>
      <c r="W14" s="198"/>
    </row>
    <row r="15" spans="1:23" ht="14.4" thickBot="1">
      <c r="A15" s="194"/>
      <c r="B15" s="219"/>
      <c r="C15" s="220"/>
      <c r="D15" s="220"/>
      <c r="E15" s="220"/>
      <c r="F15" s="220"/>
      <c r="G15" s="220"/>
      <c r="H15" s="193"/>
      <c r="I15" s="193"/>
      <c r="J15" s="193"/>
      <c r="K15" s="193"/>
      <c r="L15" s="193"/>
      <c r="M15" s="193"/>
      <c r="N15" s="193"/>
      <c r="O15" s="193"/>
      <c r="P15" s="193"/>
      <c r="Q15" s="193"/>
      <c r="R15" s="193"/>
      <c r="S15" s="194" t="s">
        <v>158</v>
      </c>
      <c r="T15" s="194"/>
      <c r="U15" s="194"/>
      <c r="V15" s="193"/>
      <c r="W15" s="198"/>
    </row>
    <row r="16" spans="1:23">
      <c r="A16" s="625"/>
      <c r="B16" s="626"/>
      <c r="C16" s="222" t="s">
        <v>132</v>
      </c>
      <c r="D16" s="223"/>
      <c r="E16" s="223"/>
      <c r="F16" s="223"/>
      <c r="G16" s="223"/>
      <c r="H16" s="224"/>
      <c r="I16" s="225"/>
      <c r="J16" s="226"/>
      <c r="K16" s="227"/>
      <c r="L16" s="228"/>
      <c r="M16" s="228"/>
      <c r="N16" s="224"/>
      <c r="O16" s="225"/>
      <c r="P16" s="229"/>
      <c r="Q16" s="193"/>
      <c r="R16" s="198"/>
      <c r="S16" s="193" t="s">
        <v>28</v>
      </c>
      <c r="T16" s="193" t="s">
        <v>29</v>
      </c>
      <c r="U16" s="221" t="s">
        <v>30</v>
      </c>
      <c r="V16" s="393"/>
      <c r="W16" s="198"/>
    </row>
    <row r="17" spans="1:23" ht="14.4" thickBot="1">
      <c r="A17" s="625"/>
      <c r="B17" s="626"/>
      <c r="C17" s="230" t="s">
        <v>133</v>
      </c>
      <c r="D17" s="231"/>
      <c r="E17" s="231"/>
      <c r="F17" s="231"/>
      <c r="G17" s="231"/>
      <c r="H17" s="232"/>
      <c r="I17" s="233"/>
      <c r="J17" s="234"/>
      <c r="K17" s="232"/>
      <c r="L17" s="233"/>
      <c r="M17" s="234"/>
      <c r="N17" s="235"/>
      <c r="O17" s="236"/>
      <c r="P17" s="237"/>
      <c r="Q17" s="193"/>
      <c r="R17" s="198"/>
      <c r="S17" s="193" t="s">
        <v>32</v>
      </c>
      <c r="T17" s="193" t="s">
        <v>30</v>
      </c>
      <c r="U17" s="221" t="s">
        <v>29</v>
      </c>
      <c r="V17" s="394"/>
      <c r="W17" s="198"/>
    </row>
    <row r="18" spans="1:23">
      <c r="A18" s="625"/>
      <c r="B18" s="626"/>
      <c r="C18" s="193" t="s">
        <v>36</v>
      </c>
      <c r="D18" s="193" t="s">
        <v>28</v>
      </c>
      <c r="E18" s="193" t="s">
        <v>29</v>
      </c>
      <c r="F18" s="193" t="s">
        <v>30</v>
      </c>
      <c r="G18" s="193" t="s">
        <v>31</v>
      </c>
      <c r="H18" s="480"/>
      <c r="I18" s="481"/>
      <c r="J18" s="482"/>
      <c r="K18" s="481"/>
      <c r="L18" s="481"/>
      <c r="M18" s="482"/>
      <c r="N18" s="473">
        <f>1-(1-N16*$V16)^((N$5*N6)*(1-N10))</f>
        <v>0</v>
      </c>
      <c r="O18" s="474">
        <f>1-(1-O16*$V16)^((O$5*O6)*(1-O10))</f>
        <v>0</v>
      </c>
      <c r="P18" s="475">
        <f>1-(1-P16*$V16)^((P$5*P6)*(1-P10))</f>
        <v>0</v>
      </c>
      <c r="Q18" s="400"/>
      <c r="R18" s="198"/>
      <c r="S18" s="193" t="s">
        <v>28</v>
      </c>
      <c r="T18" s="193" t="s">
        <v>29</v>
      </c>
      <c r="U18" s="221" t="s">
        <v>33</v>
      </c>
      <c r="V18" s="394"/>
      <c r="W18" s="198"/>
    </row>
    <row r="19" spans="1:23" ht="14.4" thickBot="1">
      <c r="A19" s="625"/>
      <c r="B19" s="626"/>
      <c r="C19" s="193" t="s">
        <v>36</v>
      </c>
      <c r="D19" s="193" t="s">
        <v>32</v>
      </c>
      <c r="E19" s="193" t="s">
        <v>30</v>
      </c>
      <c r="F19" s="193" t="s">
        <v>29</v>
      </c>
      <c r="G19" s="193" t="s">
        <v>31</v>
      </c>
      <c r="H19" s="467">
        <f>1-(1-H17*$V17)^((H$5*H7)*(1-H11))</f>
        <v>0</v>
      </c>
      <c r="I19" s="468">
        <f t="shared" ref="I19:M19" si="0">1-(1-I17*$V17)^((I$5*I7)*(1-I11))</f>
        <v>0</v>
      </c>
      <c r="J19" s="469">
        <f t="shared" si="0"/>
        <v>0</v>
      </c>
      <c r="K19" s="468">
        <f t="shared" si="0"/>
        <v>0</v>
      </c>
      <c r="L19" s="468">
        <f t="shared" si="0"/>
        <v>0</v>
      </c>
      <c r="M19" s="469">
        <f t="shared" si="0"/>
        <v>0</v>
      </c>
      <c r="N19" s="330"/>
      <c r="O19" s="327"/>
      <c r="P19" s="476"/>
      <c r="Q19" s="193"/>
      <c r="R19" s="193"/>
      <c r="S19" s="239" t="s">
        <v>32</v>
      </c>
      <c r="T19" s="194" t="s">
        <v>33</v>
      </c>
      <c r="U19" s="212" t="s">
        <v>29</v>
      </c>
      <c r="V19" s="395"/>
      <c r="W19" s="198"/>
    </row>
    <row r="20" spans="1:23">
      <c r="A20" s="625"/>
      <c r="B20" s="626"/>
      <c r="C20" s="193" t="s">
        <v>36</v>
      </c>
      <c r="D20" s="193" t="s">
        <v>28</v>
      </c>
      <c r="E20" s="193" t="s">
        <v>29</v>
      </c>
      <c r="F20" s="193" t="s">
        <v>33</v>
      </c>
      <c r="G20" s="193" t="s">
        <v>31</v>
      </c>
      <c r="H20" s="467">
        <f>1-(1-H16*$V18)^((H$5*H8)*(1-H12))</f>
        <v>0</v>
      </c>
      <c r="I20" s="468">
        <f>1-(1-I16*$V18)^((I$5*I8)*(1-I12))</f>
        <v>0</v>
      </c>
      <c r="J20" s="469">
        <f>1-(1-J16*$V18)^((J$5*J8)*(1-J12))</f>
        <v>0</v>
      </c>
      <c r="K20" s="327"/>
      <c r="L20" s="327"/>
      <c r="M20" s="327"/>
      <c r="N20" s="330"/>
      <c r="O20" s="327"/>
      <c r="P20" s="476"/>
      <c r="Q20" s="193"/>
      <c r="R20" s="193"/>
      <c r="S20" s="193"/>
      <c r="T20" s="193"/>
      <c r="U20" s="193"/>
      <c r="V20" s="396"/>
      <c r="W20" s="198"/>
    </row>
    <row r="21" spans="1:23" ht="14.4" thickBot="1">
      <c r="A21" s="629" t="s">
        <v>42</v>
      </c>
      <c r="B21" s="626"/>
      <c r="C21" s="194" t="s">
        <v>36</v>
      </c>
      <c r="D21" s="194" t="s">
        <v>32</v>
      </c>
      <c r="E21" s="194" t="s">
        <v>33</v>
      </c>
      <c r="F21" s="194" t="s">
        <v>29</v>
      </c>
      <c r="G21" s="194" t="s">
        <v>31</v>
      </c>
      <c r="H21" s="246">
        <f>1-(1-H16*$V19)^((H$5*H9)*(1-H13))</f>
        <v>0</v>
      </c>
      <c r="I21" s="247">
        <f>1-(1-I16*$V19)^((I$5*I9)*(1-I13))</f>
        <v>0</v>
      </c>
      <c r="J21" s="271">
        <f>1-(1-J16*$V19)^((J$5*J9)*(1-J13))</f>
        <v>0</v>
      </c>
      <c r="K21" s="478"/>
      <c r="L21" s="478"/>
      <c r="M21" s="478"/>
      <c r="N21" s="477"/>
      <c r="O21" s="478"/>
      <c r="P21" s="479"/>
      <c r="Q21" s="193"/>
      <c r="R21" s="193"/>
      <c r="S21" s="193"/>
      <c r="T21" s="193"/>
      <c r="U21" s="193"/>
      <c r="V21" s="396"/>
      <c r="W21" s="198"/>
    </row>
    <row r="22" spans="1:23" ht="14.4" thickBot="1">
      <c r="A22" s="625"/>
      <c r="B22" s="626"/>
      <c r="C22" s="194" t="s">
        <v>37</v>
      </c>
      <c r="D22" s="194"/>
      <c r="E22" s="194"/>
      <c r="F22" s="194"/>
      <c r="G22" s="194"/>
      <c r="H22" s="243">
        <f t="shared" ref="H22:M22" si="1">SUM(H19:H21)</f>
        <v>0</v>
      </c>
      <c r="I22" s="244">
        <f t="shared" si="1"/>
        <v>0</v>
      </c>
      <c r="J22" s="245">
        <f>SUM(J19:J21)</f>
        <v>0</v>
      </c>
      <c r="K22" s="246">
        <f t="shared" si="1"/>
        <v>0</v>
      </c>
      <c r="L22" s="247">
        <f t="shared" si="1"/>
        <v>0</v>
      </c>
      <c r="M22" s="247">
        <f t="shared" si="1"/>
        <v>0</v>
      </c>
      <c r="N22" s="246">
        <f t="shared" ref="N22:O22" si="2">SUM(N18:N21)</f>
        <v>0</v>
      </c>
      <c r="O22" s="247">
        <f t="shared" si="2"/>
        <v>0</v>
      </c>
      <c r="P22" s="248">
        <f>SUM(P18:P21)</f>
        <v>0</v>
      </c>
      <c r="R22" s="193"/>
      <c r="S22" s="193"/>
      <c r="T22" s="193"/>
      <c r="U22" s="193"/>
      <c r="V22" s="396"/>
      <c r="W22" s="198"/>
    </row>
    <row r="23" spans="1:23">
      <c r="A23" s="625"/>
      <c r="B23" s="626"/>
      <c r="C23" s="195" t="s">
        <v>135</v>
      </c>
      <c r="D23" s="195"/>
      <c r="E23" s="195"/>
      <c r="F23" s="195"/>
      <c r="G23" s="238"/>
      <c r="H23" s="249"/>
      <c r="I23" s="250"/>
      <c r="J23" s="251"/>
      <c r="K23" s="249"/>
      <c r="L23" s="250"/>
      <c r="M23" s="251"/>
      <c r="N23" s="249"/>
      <c r="O23" s="250"/>
      <c r="P23" s="252"/>
      <c r="Q23" s="193"/>
      <c r="R23" s="193"/>
      <c r="S23" s="193"/>
      <c r="T23" s="193"/>
      <c r="U23" s="193"/>
      <c r="V23" s="396"/>
      <c r="W23" s="198"/>
    </row>
    <row r="24" spans="1:23">
      <c r="A24" s="625"/>
      <c r="B24" s="626"/>
      <c r="C24" s="193" t="s">
        <v>136</v>
      </c>
      <c r="D24" s="193"/>
      <c r="E24" s="193"/>
      <c r="F24" s="193"/>
      <c r="G24" s="221"/>
      <c r="H24" s="253">
        <f>H22*H$4*(1-H23)</f>
        <v>0</v>
      </c>
      <c r="I24" s="253">
        <f>I22*I$4*(1-I23)</f>
        <v>0</v>
      </c>
      <c r="J24" s="254">
        <f>J22*J$4*(1-J23)</f>
        <v>0</v>
      </c>
      <c r="K24" s="255">
        <f>K22*K$4*(1-K23)</f>
        <v>0</v>
      </c>
      <c r="L24" s="253">
        <f t="shared" ref="L24:P24" si="3">L22*L$4*(1-L23)</f>
        <v>0</v>
      </c>
      <c r="M24" s="254">
        <f t="shared" si="3"/>
        <v>0</v>
      </c>
      <c r="N24" s="255">
        <f t="shared" si="3"/>
        <v>0</v>
      </c>
      <c r="O24" s="253">
        <f t="shared" si="3"/>
        <v>0</v>
      </c>
      <c r="P24" s="256">
        <f t="shared" si="3"/>
        <v>0</v>
      </c>
      <c r="Q24" s="193"/>
      <c r="R24" s="193"/>
      <c r="S24" s="193"/>
      <c r="T24" s="193"/>
      <c r="U24" s="193"/>
      <c r="V24" s="396"/>
      <c r="W24" s="198"/>
    </row>
    <row r="25" spans="1:23">
      <c r="A25" s="625"/>
      <c r="B25" s="626"/>
      <c r="C25" s="193" t="s">
        <v>38</v>
      </c>
      <c r="D25" s="193"/>
      <c r="E25" s="193"/>
      <c r="F25" s="193"/>
      <c r="G25" s="221"/>
      <c r="H25" s="443"/>
      <c r="I25" s="444"/>
      <c r="J25" s="445"/>
      <c r="K25" s="443"/>
      <c r="L25" s="444"/>
      <c r="M25" s="445"/>
      <c r="N25" s="443"/>
      <c r="O25" s="444"/>
      <c r="P25" s="446"/>
      <c r="Q25" s="193"/>
      <c r="R25" s="193"/>
      <c r="S25" s="193"/>
      <c r="T25" s="193"/>
      <c r="U25" s="193"/>
      <c r="V25" s="396"/>
      <c r="W25" s="198"/>
    </row>
    <row r="26" spans="1:23" ht="14.4" thickBot="1">
      <c r="A26" s="627"/>
      <c r="B26" s="628"/>
      <c r="C26" s="194" t="s">
        <v>137</v>
      </c>
      <c r="D26" s="194"/>
      <c r="E26" s="194"/>
      <c r="F26" s="194"/>
      <c r="G26" s="212"/>
      <c r="H26" s="257">
        <f>H24*H25</f>
        <v>0</v>
      </c>
      <c r="I26" s="258">
        <f t="shared" ref="I26:P26" si="4">I24*I25</f>
        <v>0</v>
      </c>
      <c r="J26" s="259">
        <f t="shared" si="4"/>
        <v>0</v>
      </c>
      <c r="K26" s="257">
        <f t="shared" si="4"/>
        <v>0</v>
      </c>
      <c r="L26" s="258">
        <f t="shared" si="4"/>
        <v>0</v>
      </c>
      <c r="M26" s="259">
        <f t="shared" si="4"/>
        <v>0</v>
      </c>
      <c r="N26" s="257">
        <f t="shared" si="4"/>
        <v>0</v>
      </c>
      <c r="O26" s="258">
        <f t="shared" si="4"/>
        <v>0</v>
      </c>
      <c r="P26" s="260">
        <f t="shared" si="4"/>
        <v>0</v>
      </c>
      <c r="Q26" s="193"/>
      <c r="R26" s="193"/>
      <c r="S26" s="193"/>
      <c r="T26" s="193"/>
      <c r="U26" s="193"/>
      <c r="V26" s="396"/>
      <c r="W26" s="198"/>
    </row>
    <row r="27" spans="1:23">
      <c r="A27" s="218"/>
      <c r="B27" s="193"/>
      <c r="C27" s="195"/>
      <c r="D27" s="193"/>
      <c r="E27" s="193"/>
      <c r="F27" s="193"/>
      <c r="G27" s="193"/>
      <c r="H27" s="193"/>
      <c r="I27" s="193"/>
      <c r="J27" s="193"/>
      <c r="K27" s="193"/>
      <c r="L27" s="193"/>
      <c r="M27" s="193"/>
      <c r="N27" s="193"/>
      <c r="O27" s="193"/>
      <c r="P27" s="193"/>
      <c r="Q27" s="193"/>
      <c r="R27" s="193"/>
      <c r="S27" s="193"/>
      <c r="T27" s="193"/>
      <c r="U27" s="193"/>
      <c r="V27" s="396"/>
      <c r="W27" s="198"/>
    </row>
    <row r="28" spans="1:23">
      <c r="A28" s="218"/>
      <c r="B28" s="193"/>
      <c r="C28" s="193"/>
      <c r="D28" s="193"/>
      <c r="E28" s="193"/>
      <c r="F28" s="193"/>
      <c r="G28" s="193"/>
      <c r="H28" s="193"/>
      <c r="I28" s="193"/>
      <c r="J28" s="193"/>
      <c r="K28" s="193"/>
      <c r="L28" s="193"/>
      <c r="M28" s="193"/>
      <c r="N28" s="193"/>
      <c r="O28" s="193"/>
      <c r="P28" s="193"/>
      <c r="Q28" s="193"/>
      <c r="R28" s="193"/>
      <c r="S28" s="287"/>
      <c r="T28" s="287"/>
      <c r="U28" s="287"/>
      <c r="W28" s="198"/>
    </row>
    <row r="29" spans="1:23" ht="14.4" thickBot="1">
      <c r="A29" s="194"/>
      <c r="B29" s="219"/>
      <c r="C29" s="194"/>
      <c r="D29" s="194"/>
      <c r="E29" s="194"/>
      <c r="F29" s="194"/>
      <c r="G29" s="194"/>
      <c r="H29" s="194"/>
      <c r="I29" s="194"/>
      <c r="J29" s="194"/>
      <c r="K29" s="194"/>
      <c r="L29" s="194"/>
      <c r="M29" s="194"/>
      <c r="N29" s="194"/>
      <c r="O29" s="194"/>
      <c r="P29" s="194"/>
      <c r="Q29" s="193"/>
      <c r="R29" s="193"/>
      <c r="S29" s="194" t="s">
        <v>158</v>
      </c>
      <c r="T29" s="194"/>
      <c r="U29" s="194"/>
      <c r="V29" s="193"/>
      <c r="W29" s="198"/>
    </row>
    <row r="30" spans="1:23">
      <c r="A30" s="625"/>
      <c r="B30" s="626"/>
      <c r="C30" s="222" t="s">
        <v>132</v>
      </c>
      <c r="D30" s="220"/>
      <c r="E30" s="220"/>
      <c r="F30" s="220"/>
      <c r="G30" s="220"/>
      <c r="H30" s="261"/>
      <c r="I30" s="262"/>
      <c r="J30" s="262"/>
      <c r="K30" s="263"/>
      <c r="L30" s="264"/>
      <c r="M30" s="264"/>
      <c r="N30" s="261"/>
      <c r="O30" s="262"/>
      <c r="P30" s="265"/>
      <c r="Q30" s="193"/>
      <c r="R30" s="198"/>
      <c r="S30" s="193" t="s">
        <v>28</v>
      </c>
      <c r="T30" s="193" t="s">
        <v>29</v>
      </c>
      <c r="U30" s="221" t="s">
        <v>30</v>
      </c>
      <c r="V30" s="393"/>
      <c r="W30" s="198"/>
    </row>
    <row r="31" spans="1:23" ht="14.4" thickBot="1">
      <c r="A31" s="625"/>
      <c r="B31" s="626"/>
      <c r="C31" s="230" t="s">
        <v>133</v>
      </c>
      <c r="D31" s="231"/>
      <c r="E31" s="231"/>
      <c r="F31" s="231"/>
      <c r="G31" s="266"/>
      <c r="H31" s="261"/>
      <c r="I31" s="262"/>
      <c r="J31" s="262"/>
      <c r="K31" s="261"/>
      <c r="L31" s="262"/>
      <c r="M31" s="262"/>
      <c r="N31" s="263"/>
      <c r="O31" s="264"/>
      <c r="P31" s="267"/>
      <c r="Q31" s="193"/>
      <c r="R31" s="198"/>
      <c r="S31" s="193" t="s">
        <v>32</v>
      </c>
      <c r="T31" s="193" t="s">
        <v>30</v>
      </c>
      <c r="U31" s="221" t="s">
        <v>29</v>
      </c>
      <c r="V31" s="394"/>
      <c r="W31" s="198"/>
    </row>
    <row r="32" spans="1:23">
      <c r="A32" s="625"/>
      <c r="B32" s="626"/>
      <c r="C32" s="193" t="s">
        <v>36</v>
      </c>
      <c r="D32" s="193" t="s">
        <v>28</v>
      </c>
      <c r="E32" s="193" t="s">
        <v>29</v>
      </c>
      <c r="F32" s="193" t="s">
        <v>30</v>
      </c>
      <c r="G32" s="193" t="s">
        <v>31</v>
      </c>
      <c r="H32" s="470"/>
      <c r="I32" s="471"/>
      <c r="J32" s="472"/>
      <c r="K32" s="470"/>
      <c r="L32" s="471"/>
      <c r="M32" s="471"/>
      <c r="N32" s="473">
        <f>1-(1-N30*$V30)^((N$5*N6)*(1-N10))</f>
        <v>0</v>
      </c>
      <c r="O32" s="474">
        <f>1-(1-O30*$V30)^((O$5*O6)*(1-O10))</f>
        <v>0</v>
      </c>
      <c r="P32" s="475">
        <f>1-(1-P30*$V30)^((P$5*P6)*(1-P10))</f>
        <v>0</v>
      </c>
      <c r="Q32" s="193"/>
      <c r="R32" s="198"/>
      <c r="S32" s="193" t="s">
        <v>28</v>
      </c>
      <c r="T32" s="193" t="s">
        <v>29</v>
      </c>
      <c r="U32" s="221" t="s">
        <v>33</v>
      </c>
      <c r="V32" s="394"/>
      <c r="W32" s="198"/>
    </row>
    <row r="33" spans="1:23" ht="14.4" thickBot="1">
      <c r="A33" s="625"/>
      <c r="B33" s="626"/>
      <c r="C33" s="193" t="s">
        <v>36</v>
      </c>
      <c r="D33" s="193" t="s">
        <v>32</v>
      </c>
      <c r="E33" s="193" t="s">
        <v>30</v>
      </c>
      <c r="F33" s="193" t="s">
        <v>29</v>
      </c>
      <c r="G33" s="193" t="s">
        <v>31</v>
      </c>
      <c r="H33" s="467">
        <f>1-(1-H31*$V31)^((H$5*H7)*(1-H11))</f>
        <v>0</v>
      </c>
      <c r="I33" s="468">
        <f t="shared" ref="I33:M33" si="5">1-(1-I31*$V31)^((I$5*I7)*(1-I11))</f>
        <v>0</v>
      </c>
      <c r="J33" s="469">
        <f t="shared" si="5"/>
        <v>0</v>
      </c>
      <c r="K33" s="467">
        <f t="shared" si="5"/>
        <v>0</v>
      </c>
      <c r="L33" s="468">
        <f t="shared" si="5"/>
        <v>0</v>
      </c>
      <c r="M33" s="469">
        <f t="shared" si="5"/>
        <v>0</v>
      </c>
      <c r="N33" s="330"/>
      <c r="O33" s="327"/>
      <c r="P33" s="476"/>
      <c r="Q33" s="193"/>
      <c r="R33" s="193"/>
      <c r="S33" s="239" t="s">
        <v>32</v>
      </c>
      <c r="T33" s="194" t="s">
        <v>33</v>
      </c>
      <c r="U33" s="212" t="s">
        <v>29</v>
      </c>
      <c r="V33" s="395"/>
      <c r="W33" s="198"/>
    </row>
    <row r="34" spans="1:23">
      <c r="A34" s="625"/>
      <c r="B34" s="626"/>
      <c r="C34" s="193" t="s">
        <v>36</v>
      </c>
      <c r="D34" s="193" t="s">
        <v>28</v>
      </c>
      <c r="E34" s="193" t="s">
        <v>29</v>
      </c>
      <c r="F34" s="193" t="s">
        <v>33</v>
      </c>
      <c r="G34" s="193" t="s">
        <v>31</v>
      </c>
      <c r="H34" s="467">
        <f>1-(1-H30*$V32)^((H$5*H8)*(1-H12))</f>
        <v>0</v>
      </c>
      <c r="I34" s="468">
        <f>1-(1-I30*$V32)^((I$5*I8)*(1-I12))</f>
        <v>0</v>
      </c>
      <c r="J34" s="469">
        <f>1-(1-J30*$V32)^((J$5*J8)*(1-J12))</f>
        <v>0</v>
      </c>
      <c r="K34" s="330"/>
      <c r="L34" s="327"/>
      <c r="M34" s="327"/>
      <c r="N34" s="330"/>
      <c r="O34" s="327"/>
      <c r="P34" s="476"/>
      <c r="Q34" s="193"/>
      <c r="R34" s="193"/>
      <c r="S34" s="193"/>
      <c r="T34" s="193"/>
      <c r="U34" s="193"/>
      <c r="V34" s="396"/>
      <c r="W34" s="198"/>
    </row>
    <row r="35" spans="1:23" ht="14.4" thickBot="1">
      <c r="A35" s="625" t="s">
        <v>43</v>
      </c>
      <c r="B35" s="626"/>
      <c r="C35" s="194" t="s">
        <v>36</v>
      </c>
      <c r="D35" s="194" t="s">
        <v>32</v>
      </c>
      <c r="E35" s="194" t="s">
        <v>33</v>
      </c>
      <c r="F35" s="194" t="s">
        <v>29</v>
      </c>
      <c r="G35" s="212" t="s">
        <v>31</v>
      </c>
      <c r="H35" s="246">
        <f>1-(1-H30*$V33)^((H$5*H9)*(1-H13))</f>
        <v>0</v>
      </c>
      <c r="I35" s="247">
        <f>1-(1-I30*$V33)^((I$5*I9)*(1-I13))</f>
        <v>0</v>
      </c>
      <c r="J35" s="271">
        <f>1-(1-J30*$V33)^((J$5*J9)*(1-J13))</f>
        <v>0</v>
      </c>
      <c r="K35" s="477"/>
      <c r="L35" s="478"/>
      <c r="M35" s="478"/>
      <c r="N35" s="477"/>
      <c r="O35" s="478"/>
      <c r="P35" s="479"/>
      <c r="Q35" s="193"/>
      <c r="R35" s="193"/>
      <c r="S35" s="193"/>
      <c r="T35" s="461"/>
      <c r="U35" s="400"/>
      <c r="V35" s="396"/>
      <c r="W35" s="198"/>
    </row>
    <row r="36" spans="1:23" ht="14.4" thickBot="1">
      <c r="A36" s="625"/>
      <c r="B36" s="626"/>
      <c r="C36" s="194" t="s">
        <v>37</v>
      </c>
      <c r="D36" s="194"/>
      <c r="E36" s="194"/>
      <c r="F36" s="194"/>
      <c r="G36" s="194"/>
      <c r="H36" s="246">
        <f t="shared" ref="H36:P36" si="6">SUM(H32:H35)</f>
        <v>0</v>
      </c>
      <c r="I36" s="247">
        <f t="shared" si="6"/>
        <v>0</v>
      </c>
      <c r="J36" s="271">
        <f t="shared" si="6"/>
        <v>0</v>
      </c>
      <c r="K36" s="246">
        <f t="shared" si="6"/>
        <v>0</v>
      </c>
      <c r="L36" s="247">
        <f t="shared" si="6"/>
        <v>0</v>
      </c>
      <c r="M36" s="247">
        <f t="shared" si="6"/>
        <v>0</v>
      </c>
      <c r="N36" s="246">
        <f>SUM(N32:N35)</f>
        <v>0</v>
      </c>
      <c r="O36" s="247">
        <f t="shared" si="6"/>
        <v>0</v>
      </c>
      <c r="P36" s="272">
        <f t="shared" si="6"/>
        <v>0</v>
      </c>
      <c r="Q36" s="193"/>
      <c r="R36" s="193"/>
      <c r="S36" s="193"/>
      <c r="T36" s="193"/>
      <c r="U36" s="193"/>
      <c r="V36" s="396"/>
      <c r="W36" s="198"/>
    </row>
    <row r="37" spans="1:23">
      <c r="A37" s="625"/>
      <c r="B37" s="626"/>
      <c r="C37" s="195" t="s">
        <v>135</v>
      </c>
      <c r="D37" s="195"/>
      <c r="E37" s="195"/>
      <c r="F37" s="195"/>
      <c r="G37" s="238"/>
      <c r="H37" s="273"/>
      <c r="I37" s="274"/>
      <c r="J37" s="275"/>
      <c r="K37" s="273"/>
      <c r="L37" s="274"/>
      <c r="M37" s="275"/>
      <c r="N37" s="273"/>
      <c r="O37" s="274"/>
      <c r="P37" s="276"/>
      <c r="Q37" s="193"/>
      <c r="R37" s="193"/>
      <c r="S37" s="193"/>
      <c r="T37" s="193"/>
      <c r="U37" s="193"/>
      <c r="V37" s="396"/>
      <c r="W37" s="198"/>
    </row>
    <row r="38" spans="1:23">
      <c r="A38" s="625"/>
      <c r="B38" s="626"/>
      <c r="C38" s="193" t="s">
        <v>136</v>
      </c>
      <c r="D38" s="193"/>
      <c r="E38" s="193"/>
      <c r="F38" s="193"/>
      <c r="G38" s="221"/>
      <c r="H38" s="277">
        <f>H36*H$4*(1-H37)</f>
        <v>0</v>
      </c>
      <c r="I38" s="278">
        <f t="shared" ref="I38:P38" si="7">I36*I$4*(1-I37)</f>
        <v>0</v>
      </c>
      <c r="J38" s="279">
        <f t="shared" si="7"/>
        <v>0</v>
      </c>
      <c r="K38" s="277">
        <f t="shared" si="7"/>
        <v>0</v>
      </c>
      <c r="L38" s="278">
        <f t="shared" si="7"/>
        <v>0</v>
      </c>
      <c r="M38" s="279">
        <f t="shared" si="7"/>
        <v>0</v>
      </c>
      <c r="N38" s="277">
        <f t="shared" si="7"/>
        <v>0</v>
      </c>
      <c r="O38" s="278">
        <f t="shared" si="7"/>
        <v>0</v>
      </c>
      <c r="P38" s="280">
        <f t="shared" si="7"/>
        <v>0</v>
      </c>
      <c r="Q38" s="193"/>
      <c r="R38" s="193"/>
      <c r="S38" s="193"/>
      <c r="T38" s="193"/>
      <c r="U38" s="193"/>
      <c r="V38" s="396"/>
      <c r="W38" s="198"/>
    </row>
    <row r="39" spans="1:23">
      <c r="A39" s="625"/>
      <c r="B39" s="626"/>
      <c r="C39" s="193" t="s">
        <v>38</v>
      </c>
      <c r="D39" s="193"/>
      <c r="E39" s="193"/>
      <c r="F39" s="193"/>
      <c r="G39" s="221"/>
      <c r="H39" s="438"/>
      <c r="I39" s="439"/>
      <c r="J39" s="440"/>
      <c r="K39" s="438"/>
      <c r="L39" s="439"/>
      <c r="M39" s="440"/>
      <c r="N39" s="438"/>
      <c r="O39" s="439"/>
      <c r="P39" s="441"/>
      <c r="Q39" s="193"/>
      <c r="R39" s="193"/>
      <c r="S39" s="193"/>
      <c r="T39" s="193"/>
      <c r="U39" s="193"/>
      <c r="V39" s="396"/>
      <c r="W39" s="198"/>
    </row>
    <row r="40" spans="1:23" ht="14.4" thickBot="1">
      <c r="A40" s="627"/>
      <c r="B40" s="628"/>
      <c r="C40" s="194" t="s">
        <v>137</v>
      </c>
      <c r="D40" s="194"/>
      <c r="E40" s="194"/>
      <c r="F40" s="194"/>
      <c r="G40" s="212"/>
      <c r="H40" s="281">
        <f>H38*H39</f>
        <v>0</v>
      </c>
      <c r="I40" s="308">
        <f t="shared" ref="I40:P40" si="8">I38*I39</f>
        <v>0</v>
      </c>
      <c r="J40" s="309">
        <f t="shared" si="8"/>
        <v>0</v>
      </c>
      <c r="K40" s="308">
        <f t="shared" si="8"/>
        <v>0</v>
      </c>
      <c r="L40" s="308">
        <f t="shared" si="8"/>
        <v>0</v>
      </c>
      <c r="M40" s="309">
        <f t="shared" si="8"/>
        <v>0</v>
      </c>
      <c r="N40" s="308">
        <f t="shared" si="8"/>
        <v>0</v>
      </c>
      <c r="O40" s="308">
        <f t="shared" si="8"/>
        <v>0</v>
      </c>
      <c r="P40" s="310">
        <f t="shared" si="8"/>
        <v>0</v>
      </c>
      <c r="Q40" s="193"/>
      <c r="R40" s="193"/>
      <c r="S40" s="193"/>
      <c r="T40" s="193"/>
      <c r="U40" s="193"/>
      <c r="V40" s="396"/>
      <c r="W40" s="198"/>
    </row>
    <row r="41" spans="1:23">
      <c r="A41" s="218"/>
      <c r="B41" s="193"/>
      <c r="C41" s="195"/>
      <c r="D41" s="193"/>
      <c r="E41" s="193"/>
      <c r="F41" s="193"/>
      <c r="G41" s="193"/>
      <c r="H41" s="193"/>
      <c r="I41" s="193"/>
      <c r="J41" s="193"/>
      <c r="K41" s="193"/>
      <c r="L41" s="193"/>
      <c r="M41" s="193"/>
      <c r="N41" s="193"/>
      <c r="O41" s="193"/>
      <c r="P41" s="193"/>
      <c r="Q41" s="193"/>
      <c r="R41" s="193"/>
      <c r="S41" s="193"/>
      <c r="T41" s="193"/>
      <c r="U41" s="193"/>
      <c r="V41" s="396"/>
      <c r="W41" s="198"/>
    </row>
    <row r="42" spans="1:23" ht="14.4" thickBot="1">
      <c r="A42" s="218"/>
      <c r="B42" s="193"/>
      <c r="C42" s="194"/>
      <c r="D42" s="194"/>
      <c r="E42" s="194"/>
      <c r="F42" s="194"/>
      <c r="G42" s="194"/>
      <c r="H42" s="194"/>
      <c r="I42" s="194"/>
      <c r="J42" s="194"/>
      <c r="K42" s="193"/>
      <c r="L42" s="193"/>
      <c r="M42" s="193"/>
      <c r="N42" s="193"/>
      <c r="O42" s="193"/>
      <c r="P42" s="193"/>
      <c r="Q42" s="193"/>
      <c r="R42" s="193"/>
      <c r="S42" s="193"/>
      <c r="T42" s="193"/>
      <c r="U42" s="193"/>
      <c r="V42" s="397"/>
      <c r="W42" s="198"/>
    </row>
    <row r="43" spans="1:23">
      <c r="A43" s="630"/>
      <c r="B43" s="631"/>
      <c r="C43" s="222" t="s">
        <v>132</v>
      </c>
      <c r="D43" s="220"/>
      <c r="E43" s="220"/>
      <c r="F43" s="220"/>
      <c r="G43" s="220"/>
      <c r="H43" s="232"/>
      <c r="I43" s="233"/>
      <c r="J43" s="226"/>
      <c r="K43" s="236"/>
      <c r="L43" s="486"/>
      <c r="M43" s="236"/>
      <c r="N43" s="324"/>
      <c r="O43" s="324"/>
      <c r="P43" s="324"/>
      <c r="Q43" s="193"/>
      <c r="R43" s="193"/>
      <c r="S43" s="193"/>
      <c r="T43" s="193"/>
      <c r="U43" s="193"/>
      <c r="V43" s="285"/>
      <c r="W43" s="198"/>
    </row>
    <row r="44" spans="1:23" ht="14.4" thickBot="1">
      <c r="A44" s="625"/>
      <c r="B44" s="626"/>
      <c r="C44" s="230" t="s">
        <v>133</v>
      </c>
      <c r="D44" s="231"/>
      <c r="E44" s="231"/>
      <c r="F44" s="231"/>
      <c r="G44" s="266"/>
      <c r="H44" s="232"/>
      <c r="I44" s="233"/>
      <c r="J44" s="234"/>
      <c r="K44" s="324"/>
      <c r="L44" s="324"/>
      <c r="M44" s="324"/>
      <c r="N44" s="236"/>
      <c r="O44" s="236"/>
      <c r="P44" s="236"/>
      <c r="Q44" s="193"/>
      <c r="R44" s="193"/>
      <c r="S44" s="194" t="s">
        <v>158</v>
      </c>
      <c r="T44" s="193"/>
      <c r="U44" s="193"/>
      <c r="V44" s="285"/>
      <c r="W44" s="198"/>
    </row>
    <row r="45" spans="1:23">
      <c r="A45" s="625"/>
      <c r="B45" s="626"/>
      <c r="C45" s="193" t="s">
        <v>36</v>
      </c>
      <c r="D45" s="193" t="s">
        <v>28</v>
      </c>
      <c r="E45" s="193" t="s">
        <v>29</v>
      </c>
      <c r="F45" s="193" t="s">
        <v>30</v>
      </c>
      <c r="G45" s="193" t="s">
        <v>31</v>
      </c>
      <c r="H45" s="470"/>
      <c r="I45" s="471"/>
      <c r="J45" s="472"/>
      <c r="K45" s="284"/>
      <c r="L45" s="284"/>
      <c r="M45" s="284"/>
      <c r="N45" s="326"/>
      <c r="O45" s="326"/>
      <c r="P45" s="326"/>
      <c r="Q45" s="193"/>
      <c r="R45" s="198"/>
      <c r="S45" s="195" t="s">
        <v>28</v>
      </c>
      <c r="T45" s="195" t="s">
        <v>29</v>
      </c>
      <c r="U45" s="238" t="s">
        <v>33</v>
      </c>
      <c r="V45" s="345"/>
      <c r="W45" s="198"/>
    </row>
    <row r="46" spans="1:23" ht="14.4" thickBot="1">
      <c r="A46" s="625"/>
      <c r="B46" s="626"/>
      <c r="C46" s="193" t="s">
        <v>36</v>
      </c>
      <c r="D46" s="193" t="s">
        <v>32</v>
      </c>
      <c r="E46" s="193" t="s">
        <v>30</v>
      </c>
      <c r="F46" s="193" t="s">
        <v>29</v>
      </c>
      <c r="G46" s="193" t="s">
        <v>31</v>
      </c>
      <c r="H46" s="330"/>
      <c r="I46" s="327"/>
      <c r="J46" s="483"/>
      <c r="K46" s="326"/>
      <c r="L46" s="326"/>
      <c r="M46" s="326"/>
      <c r="N46" s="193"/>
      <c r="O46" s="193"/>
      <c r="P46" s="193"/>
      <c r="Q46" s="193"/>
      <c r="R46" s="198"/>
      <c r="S46" s="194" t="s">
        <v>32</v>
      </c>
      <c r="T46" s="194" t="s">
        <v>33</v>
      </c>
      <c r="U46" s="212" t="s">
        <v>29</v>
      </c>
      <c r="V46" s="398"/>
      <c r="W46" s="198"/>
    </row>
    <row r="47" spans="1:23">
      <c r="A47" s="625"/>
      <c r="B47" s="626"/>
      <c r="C47" s="193" t="s">
        <v>36</v>
      </c>
      <c r="D47" s="193" t="s">
        <v>28</v>
      </c>
      <c r="E47" s="193" t="s">
        <v>29</v>
      </c>
      <c r="F47" s="193" t="s">
        <v>33</v>
      </c>
      <c r="G47" s="193" t="s">
        <v>31</v>
      </c>
      <c r="H47" s="467">
        <f>1-((1-H43)+H43*((1-$V45)^(H$5*(1-H12))))^H8</f>
        <v>0</v>
      </c>
      <c r="I47" s="468">
        <f>1-((1-I43)+I43*((1-$V45)^(I$5*(1-I12))))^I8</f>
        <v>0</v>
      </c>
      <c r="J47" s="469">
        <f>1-((1-J43)+J43*((1-$V45)^(J$5*(1-J12))))^J8</f>
        <v>0</v>
      </c>
      <c r="K47" s="193"/>
      <c r="L47" s="462"/>
      <c r="M47" s="462"/>
      <c r="N47" s="462"/>
      <c r="O47" s="193"/>
      <c r="P47" s="193"/>
      <c r="Q47" s="193"/>
      <c r="R47" s="193"/>
      <c r="S47" s="193"/>
      <c r="T47" s="193"/>
      <c r="U47" s="193"/>
      <c r="V47" s="282"/>
      <c r="W47" s="198"/>
    </row>
    <row r="48" spans="1:23" ht="14.4" thickBot="1">
      <c r="A48" s="625" t="s">
        <v>39</v>
      </c>
      <c r="B48" s="626"/>
      <c r="C48" s="241" t="s">
        <v>36</v>
      </c>
      <c r="D48" s="194" t="s">
        <v>32</v>
      </c>
      <c r="E48" s="194" t="s">
        <v>33</v>
      </c>
      <c r="F48" s="194" t="s">
        <v>29</v>
      </c>
      <c r="G48" s="212" t="s">
        <v>31</v>
      </c>
      <c r="H48" s="246">
        <f>1-((1-H43)+H43*((1-$V46)^(H$5*(1-H13))))^H9</f>
        <v>0</v>
      </c>
      <c r="I48" s="247">
        <f>1-((1-I43)+I43*((1-$V46)^(I$5*(1-I13))))^I9</f>
        <v>0</v>
      </c>
      <c r="J48" s="271">
        <f>1-((1-J43)+J43*((1-$V46)^(J$5*(1-J13))))^J9</f>
        <v>0</v>
      </c>
      <c r="K48" s="193"/>
      <c r="L48" s="462"/>
      <c r="M48" s="462"/>
      <c r="N48" s="462"/>
      <c r="O48" s="193"/>
      <c r="P48" s="193"/>
      <c r="Q48" s="193"/>
      <c r="R48" s="193"/>
      <c r="S48" s="193"/>
      <c r="T48" s="193"/>
      <c r="U48" s="193"/>
      <c r="V48" s="193"/>
      <c r="W48" s="198"/>
    </row>
    <row r="49" spans="1:23" ht="14.4" thickBot="1">
      <c r="A49" s="625"/>
      <c r="B49" s="626"/>
      <c r="C49" s="194" t="s">
        <v>37</v>
      </c>
      <c r="D49" s="194"/>
      <c r="E49" s="194"/>
      <c r="F49" s="194"/>
      <c r="G49" s="194"/>
      <c r="H49" s="246">
        <f t="shared" ref="H49:J49" si="9">SUM(H45:H48)</f>
        <v>0</v>
      </c>
      <c r="I49" s="247">
        <f t="shared" si="9"/>
        <v>0</v>
      </c>
      <c r="J49" s="271">
        <f t="shared" si="9"/>
        <v>0</v>
      </c>
      <c r="K49" s="327"/>
      <c r="L49" s="327"/>
      <c r="M49" s="327"/>
      <c r="N49" s="327"/>
      <c r="O49" s="327"/>
      <c r="P49" s="327"/>
      <c r="Q49" s="193"/>
      <c r="R49" s="193"/>
      <c r="S49" s="193"/>
      <c r="T49" s="193"/>
      <c r="U49" s="193"/>
      <c r="V49" s="193"/>
      <c r="W49" s="198"/>
    </row>
    <row r="50" spans="1:23">
      <c r="A50" s="625"/>
      <c r="B50" s="626"/>
      <c r="C50" s="195" t="s">
        <v>135</v>
      </c>
      <c r="D50" s="195"/>
      <c r="E50" s="195"/>
      <c r="F50" s="195"/>
      <c r="G50" s="238"/>
      <c r="H50" s="303"/>
      <c r="I50" s="304"/>
      <c r="J50" s="305"/>
      <c r="K50" s="324"/>
      <c r="L50" s="465"/>
      <c r="M50" s="465"/>
      <c r="N50" s="465"/>
      <c r="O50" s="324"/>
      <c r="P50" s="324"/>
      <c r="Q50" s="193"/>
      <c r="R50" s="193"/>
      <c r="S50" s="193"/>
      <c r="T50" s="193"/>
      <c r="U50" s="193"/>
      <c r="V50" s="193"/>
      <c r="W50" s="198"/>
    </row>
    <row r="51" spans="1:23">
      <c r="A51" s="625"/>
      <c r="B51" s="626"/>
      <c r="C51" s="193" t="s">
        <v>136</v>
      </c>
      <c r="D51" s="193"/>
      <c r="E51" s="193"/>
      <c r="F51" s="193"/>
      <c r="G51" s="221"/>
      <c r="H51" s="255">
        <f>H49*H$4*(1-H50)</f>
        <v>0</v>
      </c>
      <c r="I51" s="253">
        <f t="shared" ref="I51:J51" si="10">I49*I$4*(1-I50)</f>
        <v>0</v>
      </c>
      <c r="J51" s="254">
        <f t="shared" si="10"/>
        <v>0</v>
      </c>
      <c r="K51" s="328"/>
      <c r="L51" s="465"/>
      <c r="M51" s="465"/>
      <c r="N51" s="465"/>
      <c r="O51" s="328"/>
      <c r="P51" s="328"/>
      <c r="Q51" s="193"/>
      <c r="R51" s="193"/>
      <c r="S51" s="193"/>
      <c r="T51" s="193"/>
      <c r="U51" s="193"/>
      <c r="V51" s="193"/>
      <c r="W51" s="198"/>
    </row>
    <row r="52" spans="1:23">
      <c r="A52" s="625"/>
      <c r="B52" s="626"/>
      <c r="C52" s="193" t="s">
        <v>38</v>
      </c>
      <c r="D52" s="193"/>
      <c r="E52" s="193"/>
      <c r="F52" s="193"/>
      <c r="G52" s="221"/>
      <c r="H52" s="442"/>
      <c r="I52" s="439"/>
      <c r="J52" s="440"/>
      <c r="K52" s="329"/>
      <c r="L52" s="463"/>
      <c r="M52" s="329"/>
      <c r="N52" s="329"/>
      <c r="O52" s="329"/>
      <c r="P52" s="329"/>
      <c r="Q52" s="193"/>
      <c r="R52" s="193"/>
      <c r="S52" s="193"/>
      <c r="T52" s="193"/>
      <c r="U52" s="193"/>
      <c r="V52" s="193"/>
      <c r="W52" s="198"/>
    </row>
    <row r="53" spans="1:23" ht="14.4" thickBot="1">
      <c r="A53" s="627"/>
      <c r="B53" s="628"/>
      <c r="C53" s="194" t="s">
        <v>137</v>
      </c>
      <c r="D53" s="194"/>
      <c r="E53" s="194"/>
      <c r="F53" s="194"/>
      <c r="G53" s="212"/>
      <c r="H53" s="257">
        <f>H51*H52</f>
        <v>0</v>
      </c>
      <c r="I53" s="258">
        <f>I51*I52</f>
        <v>0</v>
      </c>
      <c r="J53" s="259">
        <f t="shared" ref="J53" si="11">J51*J52</f>
        <v>0</v>
      </c>
      <c r="K53" s="328"/>
      <c r="L53" s="463"/>
      <c r="M53" s="329"/>
      <c r="N53" s="328"/>
      <c r="O53" s="328"/>
      <c r="P53" s="328"/>
      <c r="Q53" s="193"/>
      <c r="R53" s="193"/>
      <c r="S53" s="193"/>
      <c r="T53" s="193"/>
      <c r="U53" s="193"/>
      <c r="V53" s="193"/>
      <c r="W53" s="198"/>
    </row>
    <row r="54" spans="1:23">
      <c r="A54" s="218"/>
      <c r="B54" s="193"/>
      <c r="C54" s="193"/>
      <c r="D54" s="193"/>
      <c r="E54" s="193"/>
      <c r="F54" s="193"/>
      <c r="G54" s="193"/>
      <c r="H54" s="193"/>
      <c r="I54" s="193"/>
      <c r="J54" s="193"/>
      <c r="K54" s="193"/>
      <c r="L54" s="326"/>
      <c r="M54" s="464"/>
      <c r="N54" s="193"/>
      <c r="O54" s="193"/>
      <c r="P54" s="193"/>
      <c r="Q54" s="193"/>
      <c r="R54" s="193"/>
      <c r="S54" s="193"/>
      <c r="T54" s="193"/>
      <c r="U54" s="193"/>
      <c r="V54" s="193"/>
      <c r="W54" s="198"/>
    </row>
    <row r="55" spans="1:23">
      <c r="A55" s="218"/>
      <c r="B55" s="193"/>
      <c r="C55" s="193"/>
      <c r="D55" s="193"/>
      <c r="E55" s="193"/>
      <c r="F55" s="193"/>
      <c r="G55" s="193"/>
      <c r="H55" s="193"/>
      <c r="I55" s="193"/>
      <c r="J55" s="193"/>
      <c r="K55" s="193"/>
      <c r="L55" s="326"/>
      <c r="M55" s="464"/>
      <c r="N55" s="193"/>
      <c r="O55" s="193"/>
      <c r="P55" s="193"/>
      <c r="Q55" s="193"/>
      <c r="R55" s="193"/>
      <c r="S55" s="193"/>
      <c r="T55" s="193"/>
      <c r="U55" s="193"/>
      <c r="V55" s="193"/>
      <c r="W55" s="198"/>
    </row>
    <row r="56" spans="1:23" ht="14.4" thickBot="1">
      <c r="A56" s="239"/>
      <c r="B56" s="194"/>
      <c r="C56" s="194"/>
      <c r="D56" s="194"/>
      <c r="E56" s="194"/>
      <c r="F56" s="194"/>
      <c r="G56" s="194"/>
      <c r="H56" s="194"/>
      <c r="I56" s="194"/>
      <c r="J56" s="194"/>
      <c r="K56" s="194"/>
      <c r="L56" s="194"/>
      <c r="M56" s="194"/>
      <c r="N56" s="194"/>
      <c r="O56" s="194"/>
      <c r="P56" s="194"/>
      <c r="Q56" s="194"/>
      <c r="R56" s="194"/>
      <c r="S56" s="194"/>
      <c r="T56" s="194"/>
      <c r="U56" s="194"/>
      <c r="V56" s="194"/>
      <c r="W56" s="242"/>
    </row>
  </sheetData>
  <pageMargins left="0.7" right="0.7" top="0.75" bottom="0.75" header="0.3" footer="0.3"/>
  <pageSetup orientation="portrait" horizontalDpi="1200" verticalDpi="1200" r:id="rId1"/>
  <drawing r:id="rId2"/>
  <legacyDrawing r:id="rId3"/>
  <controls>
    <mc:AlternateContent xmlns:mc="http://schemas.openxmlformats.org/markup-compatibility/2006">
      <mc:Choice Requires="x14">
        <control shapeId="31745" r:id="rId4" name="CommandButton1">
          <controlPr defaultSize="0" autoLine="0" altText="Back" r:id="rId5">
            <anchor moveWithCells="1">
              <from>
                <xdr:col>0</xdr:col>
                <xdr:colOff>60960</xdr:colOff>
                <xdr:row>0</xdr:row>
                <xdr:rowOff>68580</xdr:rowOff>
              </from>
              <to>
                <xdr:col>0</xdr:col>
                <xdr:colOff>601980</xdr:colOff>
                <xdr:row>2</xdr:row>
                <xdr:rowOff>137160</xdr:rowOff>
              </to>
            </anchor>
          </controlPr>
        </control>
      </mc:Choice>
      <mc:Fallback>
        <control shapeId="31745" r:id="rId4" name="CommandButton1"/>
      </mc:Fallback>
    </mc:AlternateContent>
  </control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autoPageBreaks="0"/>
  </sheetPr>
  <dimension ref="A1:W56"/>
  <sheetViews>
    <sheetView zoomScale="80" zoomScaleNormal="80" workbookViewId="0"/>
  </sheetViews>
  <sheetFormatPr defaultColWidth="9.109375" defaultRowHeight="13.8"/>
  <cols>
    <col min="1" max="2" width="9.109375" style="197"/>
    <col min="3" max="3" width="23.6640625" style="197" customWidth="1"/>
    <col min="4" max="4" width="10.44140625" style="197" customWidth="1"/>
    <col min="5" max="6" width="9.109375" style="197"/>
    <col min="7" max="7" width="19.6640625" style="197" customWidth="1"/>
    <col min="8" max="16" width="14.6640625" style="197" customWidth="1"/>
    <col min="17" max="17" width="2" style="197" customWidth="1"/>
    <col min="18" max="18" width="9.109375" style="197"/>
    <col min="19" max="19" width="10.88671875" style="197" customWidth="1"/>
    <col min="20" max="16384" width="9.109375" style="197"/>
  </cols>
  <sheetData>
    <row r="1" spans="1:23" ht="15" customHeight="1">
      <c r="A1" s="592"/>
      <c r="B1" s="593"/>
      <c r="C1" s="593"/>
      <c r="D1" s="593"/>
      <c r="E1" s="593"/>
      <c r="F1" s="593"/>
      <c r="G1" s="613"/>
      <c r="H1" s="590"/>
      <c r="I1" s="596" t="s">
        <v>73</v>
      </c>
      <c r="J1" s="598"/>
      <c r="K1" s="590"/>
      <c r="L1" s="590" t="s">
        <v>74</v>
      </c>
      <c r="M1" s="598"/>
      <c r="N1" s="590"/>
      <c r="O1" s="590" t="s">
        <v>75</v>
      </c>
      <c r="P1" s="590"/>
      <c r="Q1" s="195"/>
      <c r="R1" s="195"/>
      <c r="S1" s="195"/>
      <c r="T1" s="195"/>
      <c r="U1" s="195"/>
      <c r="V1" s="195"/>
      <c r="W1" s="196"/>
    </row>
    <row r="2" spans="1:23" ht="15" customHeight="1">
      <c r="A2" s="594"/>
      <c r="B2" s="408"/>
      <c r="C2" s="632" t="s">
        <v>51</v>
      </c>
      <c r="D2" s="408"/>
      <c r="E2" s="408"/>
      <c r="F2" s="408"/>
      <c r="G2" s="614"/>
      <c r="H2" s="591"/>
      <c r="I2" s="597"/>
      <c r="J2" s="599"/>
      <c r="K2" s="591"/>
      <c r="L2" s="591"/>
      <c r="M2" s="599"/>
      <c r="N2" s="591"/>
      <c r="O2" s="591"/>
      <c r="P2" s="591"/>
      <c r="Q2" s="193"/>
      <c r="R2" s="193"/>
      <c r="S2" s="193"/>
      <c r="T2" s="193"/>
      <c r="U2" s="193"/>
      <c r="V2" s="193"/>
      <c r="W2" s="198"/>
    </row>
    <row r="3" spans="1:23" ht="15.75" customHeight="1" thickBot="1">
      <c r="A3" s="595"/>
      <c r="B3" s="219"/>
      <c r="C3" s="219"/>
      <c r="D3" s="219"/>
      <c r="E3" s="219"/>
      <c r="F3" s="219"/>
      <c r="G3" s="615"/>
      <c r="H3" s="113" t="s">
        <v>4</v>
      </c>
      <c r="I3" s="113" t="s">
        <v>5</v>
      </c>
      <c r="J3" s="600">
        <v>18</v>
      </c>
      <c r="K3" s="113" t="s">
        <v>4</v>
      </c>
      <c r="L3" s="113" t="s">
        <v>5</v>
      </c>
      <c r="M3" s="600">
        <v>18</v>
      </c>
      <c r="N3" s="113" t="s">
        <v>4</v>
      </c>
      <c r="O3" s="113" t="s">
        <v>5</v>
      </c>
      <c r="P3" s="113">
        <v>18</v>
      </c>
      <c r="Q3" s="193"/>
      <c r="R3" s="199"/>
      <c r="S3" s="200"/>
      <c r="T3" s="193"/>
      <c r="U3" s="193"/>
      <c r="V3" s="193"/>
      <c r="W3" s="198"/>
    </row>
    <row r="4" spans="1:23" ht="14.4" thickBot="1">
      <c r="A4" s="640" t="s">
        <v>44</v>
      </c>
      <c r="B4" s="641"/>
      <c r="C4" s="193"/>
      <c r="D4" s="193"/>
      <c r="E4" s="193"/>
      <c r="F4" s="193"/>
      <c r="G4" s="611"/>
      <c r="H4" s="347"/>
      <c r="I4" s="347"/>
      <c r="J4" s="601"/>
      <c r="K4" s="347"/>
      <c r="L4" s="347"/>
      <c r="M4" s="450"/>
      <c r="N4" s="347"/>
      <c r="O4" s="347"/>
      <c r="P4" s="348"/>
      <c r="Q4" s="193"/>
      <c r="S4" s="201"/>
      <c r="T4" s="456" t="s">
        <v>41</v>
      </c>
      <c r="U4" s="456"/>
      <c r="V4" s="457"/>
      <c r="W4" s="198"/>
    </row>
    <row r="5" spans="1:23" ht="15" customHeight="1" thickBot="1">
      <c r="A5" s="621"/>
      <c r="B5" s="616"/>
      <c r="C5" s="452" t="s">
        <v>164</v>
      </c>
      <c r="D5" s="453"/>
      <c r="E5" s="453"/>
      <c r="F5" s="453"/>
      <c r="G5" s="612"/>
      <c r="H5" s="454"/>
      <c r="I5" s="454"/>
      <c r="J5" s="602"/>
      <c r="K5" s="454"/>
      <c r="L5" s="454"/>
      <c r="M5" s="602"/>
      <c r="N5" s="454"/>
      <c r="O5" s="454"/>
      <c r="P5" s="455"/>
      <c r="Q5" s="193"/>
      <c r="R5" s="287"/>
      <c r="S5" s="205"/>
      <c r="T5" s="458" t="s">
        <v>40</v>
      </c>
      <c r="U5" s="458"/>
      <c r="V5" s="459"/>
      <c r="W5" s="198"/>
    </row>
    <row r="6" spans="1:23" ht="14.4" thickBot="1">
      <c r="A6" s="624"/>
      <c r="B6" s="618"/>
      <c r="C6" s="218" t="s">
        <v>165</v>
      </c>
      <c r="D6" s="193" t="s">
        <v>28</v>
      </c>
      <c r="E6" s="193" t="s">
        <v>29</v>
      </c>
      <c r="F6" s="193" t="s">
        <v>30</v>
      </c>
      <c r="G6" s="221" t="s">
        <v>163</v>
      </c>
      <c r="H6" s="202"/>
      <c r="I6" s="202"/>
      <c r="J6" s="603"/>
      <c r="K6" s="216"/>
      <c r="L6" s="216"/>
      <c r="M6" s="606"/>
      <c r="N6" s="203"/>
      <c r="O6" s="203"/>
      <c r="P6" s="204"/>
      <c r="Q6" s="193"/>
      <c r="S6" s="209"/>
      <c r="T6" s="210" t="s">
        <v>134</v>
      </c>
      <c r="U6" s="210"/>
      <c r="V6" s="211"/>
      <c r="W6" s="198"/>
    </row>
    <row r="7" spans="1:23">
      <c r="A7" s="622" t="s">
        <v>241</v>
      </c>
      <c r="B7" s="618"/>
      <c r="C7" s="218" t="s">
        <v>165</v>
      </c>
      <c r="D7" s="193" t="s">
        <v>32</v>
      </c>
      <c r="E7" s="193" t="s">
        <v>30</v>
      </c>
      <c r="F7" s="193" t="s">
        <v>29</v>
      </c>
      <c r="G7" s="221" t="s">
        <v>163</v>
      </c>
      <c r="H7" s="206"/>
      <c r="I7" s="206"/>
      <c r="J7" s="604"/>
      <c r="K7" s="206"/>
      <c r="L7" s="206"/>
      <c r="M7" s="604"/>
      <c r="N7" s="207"/>
      <c r="O7" s="207"/>
      <c r="P7" s="208"/>
      <c r="Q7" s="193"/>
      <c r="R7" s="193"/>
      <c r="S7" s="193"/>
      <c r="T7" s="193"/>
      <c r="U7" s="193"/>
      <c r="V7" s="193"/>
      <c r="W7" s="198"/>
    </row>
    <row r="8" spans="1:23">
      <c r="A8" s="622" t="s">
        <v>242</v>
      </c>
      <c r="B8" s="618"/>
      <c r="C8" s="218" t="s">
        <v>165</v>
      </c>
      <c r="D8" s="193" t="s">
        <v>28</v>
      </c>
      <c r="E8" s="193" t="s">
        <v>29</v>
      </c>
      <c r="F8" s="193" t="s">
        <v>33</v>
      </c>
      <c r="G8" s="221" t="s">
        <v>163</v>
      </c>
      <c r="H8" s="206"/>
      <c r="I8" s="206"/>
      <c r="J8" s="604"/>
      <c r="K8" s="207"/>
      <c r="L8" s="207"/>
      <c r="M8" s="609"/>
      <c r="N8" s="207"/>
      <c r="O8" s="207"/>
      <c r="P8" s="208"/>
      <c r="Q8" s="193"/>
      <c r="R8" s="193"/>
      <c r="S8" s="193"/>
      <c r="T8" s="193"/>
      <c r="U8" s="193"/>
      <c r="V8" s="193"/>
      <c r="W8" s="198"/>
    </row>
    <row r="9" spans="1:23" ht="14.4" thickBot="1">
      <c r="A9" s="623"/>
      <c r="B9" s="618"/>
      <c r="C9" s="239" t="s">
        <v>165</v>
      </c>
      <c r="D9" s="194" t="s">
        <v>32</v>
      </c>
      <c r="E9" s="194" t="s">
        <v>33</v>
      </c>
      <c r="F9" s="194" t="s">
        <v>29</v>
      </c>
      <c r="G9" s="221" t="s">
        <v>163</v>
      </c>
      <c r="H9" s="213"/>
      <c r="I9" s="213"/>
      <c r="J9" s="605"/>
      <c r="K9" s="214"/>
      <c r="L9" s="214"/>
      <c r="M9" s="610"/>
      <c r="N9" s="214"/>
      <c r="O9" s="214"/>
      <c r="P9" s="215"/>
      <c r="Q9" s="193"/>
      <c r="R9" s="193"/>
      <c r="S9" s="193"/>
      <c r="T9" s="193"/>
      <c r="U9" s="193"/>
      <c r="V9" s="193"/>
      <c r="W9" s="198"/>
    </row>
    <row r="10" spans="1:23">
      <c r="A10" s="622" t="s">
        <v>243</v>
      </c>
      <c r="B10" s="618"/>
      <c r="C10" s="451" t="s">
        <v>34</v>
      </c>
      <c r="D10" s="193" t="s">
        <v>28</v>
      </c>
      <c r="E10" s="193" t="s">
        <v>29</v>
      </c>
      <c r="F10" s="193" t="s">
        <v>30</v>
      </c>
      <c r="G10" s="238" t="s">
        <v>35</v>
      </c>
      <c r="H10" s="216"/>
      <c r="I10" s="216"/>
      <c r="J10" s="606"/>
      <c r="K10" s="202"/>
      <c r="L10" s="202"/>
      <c r="M10" s="603"/>
      <c r="N10" s="447"/>
      <c r="O10" s="447"/>
      <c r="P10" s="449"/>
      <c r="Q10" s="193"/>
      <c r="R10" s="193"/>
      <c r="S10" s="193"/>
      <c r="T10" s="193"/>
      <c r="U10" s="193"/>
      <c r="V10" s="193"/>
      <c r="W10" s="198"/>
    </row>
    <row r="11" spans="1:23">
      <c r="A11" s="623" t="s">
        <v>244</v>
      </c>
      <c r="B11" s="618"/>
      <c r="C11" s="218" t="s">
        <v>34</v>
      </c>
      <c r="D11" s="193" t="s">
        <v>32</v>
      </c>
      <c r="E11" s="193" t="s">
        <v>30</v>
      </c>
      <c r="F11" s="193" t="s">
        <v>29</v>
      </c>
      <c r="G11" s="221" t="s">
        <v>35</v>
      </c>
      <c r="H11" s="447"/>
      <c r="I11" s="447"/>
      <c r="J11" s="607"/>
      <c r="K11" s="447"/>
      <c r="L11" s="447"/>
      <c r="M11" s="607"/>
      <c r="N11" s="216"/>
      <c r="O11" s="216"/>
      <c r="P11" s="217"/>
      <c r="Q11" s="193"/>
      <c r="R11" s="193"/>
      <c r="S11" s="193"/>
      <c r="T11" s="193"/>
      <c r="U11" s="193"/>
      <c r="V11" s="193"/>
      <c r="W11" s="198"/>
    </row>
    <row r="12" spans="1:23">
      <c r="A12" s="617"/>
      <c r="B12" s="618"/>
      <c r="C12" s="218" t="s">
        <v>34</v>
      </c>
      <c r="D12" s="193" t="s">
        <v>28</v>
      </c>
      <c r="E12" s="193" t="s">
        <v>29</v>
      </c>
      <c r="F12" s="193" t="s">
        <v>33</v>
      </c>
      <c r="G12" s="221" t="s">
        <v>35</v>
      </c>
      <c r="H12" s="447"/>
      <c r="I12" s="447"/>
      <c r="J12" s="607"/>
      <c r="K12" s="216"/>
      <c r="L12" s="216"/>
      <c r="M12" s="606"/>
      <c r="N12" s="216"/>
      <c r="O12" s="216"/>
      <c r="P12" s="217"/>
      <c r="Q12" s="193"/>
      <c r="R12" s="193"/>
      <c r="S12" s="193"/>
      <c r="T12" s="193"/>
      <c r="U12" s="193"/>
      <c r="V12" s="193"/>
      <c r="W12" s="198"/>
    </row>
    <row r="13" spans="1:23" ht="14.4" thickBot="1">
      <c r="A13" s="619"/>
      <c r="B13" s="620"/>
      <c r="C13" s="239" t="s">
        <v>34</v>
      </c>
      <c r="D13" s="194" t="s">
        <v>32</v>
      </c>
      <c r="E13" s="194" t="s">
        <v>33</v>
      </c>
      <c r="F13" s="194" t="s">
        <v>29</v>
      </c>
      <c r="G13" s="212" t="s">
        <v>35</v>
      </c>
      <c r="H13" s="448"/>
      <c r="I13" s="448"/>
      <c r="J13" s="608"/>
      <c r="K13" s="214"/>
      <c r="L13" s="214"/>
      <c r="M13" s="610"/>
      <c r="N13" s="214"/>
      <c r="O13" s="214"/>
      <c r="P13" s="215"/>
      <c r="Q13" s="193"/>
      <c r="R13" s="193"/>
      <c r="S13" s="193"/>
      <c r="T13" s="193"/>
      <c r="U13" s="193"/>
      <c r="V13" s="193"/>
      <c r="W13" s="198"/>
    </row>
    <row r="14" spans="1:23">
      <c r="A14" s="218"/>
      <c r="B14" s="193"/>
      <c r="C14" s="193"/>
      <c r="D14" s="193"/>
      <c r="E14" s="193"/>
      <c r="F14" s="193"/>
      <c r="G14" s="193"/>
      <c r="H14" s="193"/>
      <c r="I14" s="193"/>
      <c r="J14" s="193"/>
      <c r="K14" s="193"/>
      <c r="L14" s="193"/>
      <c r="M14" s="193"/>
      <c r="N14" s="193"/>
      <c r="O14" s="193"/>
      <c r="P14" s="193"/>
      <c r="Q14" s="193"/>
      <c r="R14" s="193"/>
      <c r="S14" s="287"/>
      <c r="T14" s="287"/>
      <c r="U14" s="287"/>
      <c r="W14" s="198"/>
    </row>
    <row r="15" spans="1:23" ht="14.4" thickBot="1">
      <c r="A15" s="194"/>
      <c r="B15" s="219"/>
      <c r="C15" s="220"/>
      <c r="D15" s="220"/>
      <c r="E15" s="220"/>
      <c r="F15" s="220"/>
      <c r="G15" s="220"/>
      <c r="H15" s="193"/>
      <c r="I15" s="193"/>
      <c r="J15" s="193"/>
      <c r="K15" s="193"/>
      <c r="L15" s="193"/>
      <c r="M15" s="193"/>
      <c r="N15" s="193"/>
      <c r="O15" s="193"/>
      <c r="P15" s="193"/>
      <c r="Q15" s="193"/>
      <c r="R15" s="193"/>
      <c r="S15" s="194" t="s">
        <v>158</v>
      </c>
      <c r="T15" s="194"/>
      <c r="U15" s="194"/>
      <c r="V15" s="193"/>
      <c r="W15" s="198"/>
    </row>
    <row r="16" spans="1:23">
      <c r="A16" s="625"/>
      <c r="B16" s="626"/>
      <c r="C16" s="222" t="s">
        <v>132</v>
      </c>
      <c r="D16" s="223"/>
      <c r="E16" s="223"/>
      <c r="F16" s="223"/>
      <c r="G16" s="223"/>
      <c r="H16" s="224"/>
      <c r="I16" s="225"/>
      <c r="J16" s="226"/>
      <c r="K16" s="227"/>
      <c r="L16" s="228"/>
      <c r="M16" s="228"/>
      <c r="N16" s="224"/>
      <c r="O16" s="225"/>
      <c r="P16" s="229"/>
      <c r="Q16" s="193"/>
      <c r="R16" s="198"/>
      <c r="S16" s="193" t="s">
        <v>28</v>
      </c>
      <c r="T16" s="193" t="s">
        <v>29</v>
      </c>
      <c r="U16" s="221" t="s">
        <v>30</v>
      </c>
      <c r="V16" s="393"/>
      <c r="W16" s="198"/>
    </row>
    <row r="17" spans="1:23" ht="14.4" thickBot="1">
      <c r="A17" s="625"/>
      <c r="B17" s="626"/>
      <c r="C17" s="230" t="s">
        <v>133</v>
      </c>
      <c r="D17" s="231"/>
      <c r="E17" s="231"/>
      <c r="F17" s="231"/>
      <c r="G17" s="231"/>
      <c r="H17" s="232"/>
      <c r="I17" s="233"/>
      <c r="J17" s="234"/>
      <c r="K17" s="232"/>
      <c r="L17" s="233"/>
      <c r="M17" s="234"/>
      <c r="N17" s="235"/>
      <c r="O17" s="236"/>
      <c r="P17" s="237"/>
      <c r="Q17" s="193"/>
      <c r="R17" s="198"/>
      <c r="S17" s="193" t="s">
        <v>32</v>
      </c>
      <c r="T17" s="193" t="s">
        <v>30</v>
      </c>
      <c r="U17" s="221" t="s">
        <v>29</v>
      </c>
      <c r="V17" s="394"/>
      <c r="W17" s="198"/>
    </row>
    <row r="18" spans="1:23">
      <c r="A18" s="625"/>
      <c r="B18" s="626"/>
      <c r="C18" s="193" t="s">
        <v>36</v>
      </c>
      <c r="D18" s="193" t="s">
        <v>28</v>
      </c>
      <c r="E18" s="193" t="s">
        <v>29</v>
      </c>
      <c r="F18" s="193" t="s">
        <v>30</v>
      </c>
      <c r="G18" s="193" t="s">
        <v>31</v>
      </c>
      <c r="H18" s="480"/>
      <c r="I18" s="481"/>
      <c r="J18" s="482"/>
      <c r="K18" s="481"/>
      <c r="L18" s="481"/>
      <c r="M18" s="482"/>
      <c r="N18" s="473">
        <f>1-(1-N16*$V16)^((N$5*N6)*(1-N10))</f>
        <v>0</v>
      </c>
      <c r="O18" s="474">
        <f>1-(1-O16*$V16)^((O$5*O6)*(1-O10))</f>
        <v>0</v>
      </c>
      <c r="P18" s="475">
        <f>1-(1-P16*$V16)^((P$5*P6)*(1-P10))</f>
        <v>0</v>
      </c>
      <c r="Q18" s="193"/>
      <c r="R18" s="198"/>
      <c r="S18" s="193" t="s">
        <v>28</v>
      </c>
      <c r="T18" s="193" t="s">
        <v>29</v>
      </c>
      <c r="U18" s="221" t="s">
        <v>33</v>
      </c>
      <c r="V18" s="394"/>
      <c r="W18" s="198"/>
    </row>
    <row r="19" spans="1:23" ht="14.4" thickBot="1">
      <c r="A19" s="625"/>
      <c r="B19" s="626"/>
      <c r="C19" s="193" t="s">
        <v>36</v>
      </c>
      <c r="D19" s="193" t="s">
        <v>32</v>
      </c>
      <c r="E19" s="193" t="s">
        <v>30</v>
      </c>
      <c r="F19" s="193" t="s">
        <v>29</v>
      </c>
      <c r="G19" s="193" t="s">
        <v>31</v>
      </c>
      <c r="H19" s="467">
        <f>1-(1-H17*$V17)^((H$5*H7)*(1-H11))</f>
        <v>0</v>
      </c>
      <c r="I19" s="468">
        <f t="shared" ref="I19:M19" si="0">1-(1-I17*$V17)^((I$5*I7)*(1-I11))</f>
        <v>0</v>
      </c>
      <c r="J19" s="469">
        <f t="shared" si="0"/>
        <v>0</v>
      </c>
      <c r="K19" s="468">
        <f t="shared" si="0"/>
        <v>0</v>
      </c>
      <c r="L19" s="468">
        <f t="shared" si="0"/>
        <v>0</v>
      </c>
      <c r="M19" s="469">
        <f t="shared" si="0"/>
        <v>0</v>
      </c>
      <c r="N19" s="330"/>
      <c r="O19" s="327"/>
      <c r="P19" s="476"/>
      <c r="Q19" s="193"/>
      <c r="R19" s="193"/>
      <c r="S19" s="239" t="s">
        <v>32</v>
      </c>
      <c r="T19" s="194" t="s">
        <v>33</v>
      </c>
      <c r="U19" s="212" t="s">
        <v>29</v>
      </c>
      <c r="V19" s="395"/>
      <c r="W19" s="198"/>
    </row>
    <row r="20" spans="1:23">
      <c r="A20" s="625"/>
      <c r="B20" s="626"/>
      <c r="C20" s="193" t="s">
        <v>36</v>
      </c>
      <c r="D20" s="193" t="s">
        <v>28</v>
      </c>
      <c r="E20" s="193" t="s">
        <v>29</v>
      </c>
      <c r="F20" s="193" t="s">
        <v>33</v>
      </c>
      <c r="G20" s="193" t="s">
        <v>31</v>
      </c>
      <c r="H20" s="467">
        <f>1-(1-H16*$V18)^((H$5*H8)*(1-H12))</f>
        <v>0</v>
      </c>
      <c r="I20" s="468">
        <f>1-(1-I16*$V18)^((I$5*I8)*(1-I12))</f>
        <v>0</v>
      </c>
      <c r="J20" s="469">
        <f>1-(1-J16*$V18)^((J$5*J8)*(1-J12))</f>
        <v>0</v>
      </c>
      <c r="K20" s="327"/>
      <c r="L20" s="327"/>
      <c r="M20" s="327"/>
      <c r="N20" s="330"/>
      <c r="O20" s="327"/>
      <c r="P20" s="476"/>
      <c r="Q20" s="193"/>
      <c r="R20" s="193"/>
      <c r="S20" s="193"/>
      <c r="T20" s="193"/>
      <c r="U20" s="193"/>
      <c r="V20" s="396"/>
      <c r="W20" s="198"/>
    </row>
    <row r="21" spans="1:23" ht="14.4" thickBot="1">
      <c r="A21" s="629" t="s">
        <v>42</v>
      </c>
      <c r="B21" s="626"/>
      <c r="C21" s="194" t="s">
        <v>36</v>
      </c>
      <c r="D21" s="194" t="s">
        <v>32</v>
      </c>
      <c r="E21" s="194" t="s">
        <v>33</v>
      </c>
      <c r="F21" s="194" t="s">
        <v>29</v>
      </c>
      <c r="G21" s="194" t="s">
        <v>31</v>
      </c>
      <c r="H21" s="246">
        <f>1-(1-H16*$V19)^((H$5*H9)*(1-H13))</f>
        <v>0</v>
      </c>
      <c r="I21" s="247">
        <f>1-(1-I16*$V19)^((I$5*I9)*(1-I13))</f>
        <v>0</v>
      </c>
      <c r="J21" s="271">
        <f>1-(1-J16*$V19)^((J$5*J9)*(1-J13))</f>
        <v>0</v>
      </c>
      <c r="K21" s="478"/>
      <c r="L21" s="478"/>
      <c r="M21" s="478"/>
      <c r="N21" s="477"/>
      <c r="O21" s="478"/>
      <c r="P21" s="479"/>
      <c r="Q21" s="193"/>
      <c r="R21" s="193"/>
      <c r="S21" s="193"/>
      <c r="T21" s="193"/>
      <c r="U21" s="193"/>
      <c r="V21" s="396"/>
      <c r="W21" s="198"/>
    </row>
    <row r="22" spans="1:23" ht="14.4" thickBot="1">
      <c r="A22" s="625"/>
      <c r="B22" s="626"/>
      <c r="C22" s="194" t="s">
        <v>37</v>
      </c>
      <c r="D22" s="194"/>
      <c r="E22" s="194"/>
      <c r="F22" s="194"/>
      <c r="G22" s="194"/>
      <c r="H22" s="243">
        <f t="shared" ref="H22:M22" si="1">SUM(H19:H21)</f>
        <v>0</v>
      </c>
      <c r="I22" s="244">
        <f t="shared" si="1"/>
        <v>0</v>
      </c>
      <c r="J22" s="245">
        <f>SUM(J19:J21)</f>
        <v>0</v>
      </c>
      <c r="K22" s="246">
        <f t="shared" si="1"/>
        <v>0</v>
      </c>
      <c r="L22" s="247">
        <f t="shared" si="1"/>
        <v>0</v>
      </c>
      <c r="M22" s="247">
        <f t="shared" si="1"/>
        <v>0</v>
      </c>
      <c r="N22" s="246">
        <f t="shared" ref="N22:O22" si="2">SUM(N18:N21)</f>
        <v>0</v>
      </c>
      <c r="O22" s="247">
        <f t="shared" si="2"/>
        <v>0</v>
      </c>
      <c r="P22" s="248">
        <f>SUM(P18:P21)</f>
        <v>0</v>
      </c>
      <c r="Q22" s="193"/>
      <c r="R22" s="193"/>
      <c r="S22" s="193"/>
      <c r="T22" s="193"/>
      <c r="U22" s="193"/>
      <c r="V22" s="396"/>
      <c r="W22" s="198"/>
    </row>
    <row r="23" spans="1:23">
      <c r="A23" s="625"/>
      <c r="B23" s="626"/>
      <c r="C23" s="195" t="s">
        <v>135</v>
      </c>
      <c r="D23" s="195"/>
      <c r="E23" s="195"/>
      <c r="F23" s="195"/>
      <c r="G23" s="238"/>
      <c r="H23" s="249"/>
      <c r="I23" s="250"/>
      <c r="J23" s="251"/>
      <c r="K23" s="249"/>
      <c r="L23" s="250"/>
      <c r="M23" s="251"/>
      <c r="N23" s="249"/>
      <c r="O23" s="250"/>
      <c r="P23" s="252"/>
      <c r="Q23" s="193"/>
      <c r="R23" s="193"/>
      <c r="S23" s="193"/>
      <c r="T23" s="193"/>
      <c r="U23" s="193"/>
      <c r="V23" s="396"/>
      <c r="W23" s="198"/>
    </row>
    <row r="24" spans="1:23">
      <c r="A24" s="625"/>
      <c r="B24" s="626"/>
      <c r="C24" s="193" t="s">
        <v>136</v>
      </c>
      <c r="D24" s="193"/>
      <c r="E24" s="193"/>
      <c r="F24" s="193"/>
      <c r="G24" s="221"/>
      <c r="H24" s="253">
        <f>H22*H$4*(1-H23)</f>
        <v>0</v>
      </c>
      <c r="I24" s="253">
        <f>I22*I$4*(1-I23)</f>
        <v>0</v>
      </c>
      <c r="J24" s="254">
        <f>J22*J$4*(1-J23)</f>
        <v>0</v>
      </c>
      <c r="K24" s="255">
        <f>K22*K$4*(1-K23)</f>
        <v>0</v>
      </c>
      <c r="L24" s="253">
        <f t="shared" ref="L24:P24" si="3">L22*L$4*(1-L23)</f>
        <v>0</v>
      </c>
      <c r="M24" s="254">
        <f t="shared" si="3"/>
        <v>0</v>
      </c>
      <c r="N24" s="255">
        <f t="shared" si="3"/>
        <v>0</v>
      </c>
      <c r="O24" s="253">
        <f t="shared" si="3"/>
        <v>0</v>
      </c>
      <c r="P24" s="256">
        <f t="shared" si="3"/>
        <v>0</v>
      </c>
      <c r="Q24" s="193"/>
      <c r="R24" s="193"/>
      <c r="S24" s="193"/>
      <c r="T24" s="193"/>
      <c r="U24" s="193"/>
      <c r="V24" s="396"/>
      <c r="W24" s="198"/>
    </row>
    <row r="25" spans="1:23">
      <c r="A25" s="625"/>
      <c r="B25" s="626"/>
      <c r="C25" s="193" t="s">
        <v>38</v>
      </c>
      <c r="D25" s="193"/>
      <c r="E25" s="193"/>
      <c r="F25" s="193"/>
      <c r="G25" s="221"/>
      <c r="H25" s="443"/>
      <c r="I25" s="444"/>
      <c r="J25" s="445"/>
      <c r="K25" s="443"/>
      <c r="L25" s="444"/>
      <c r="M25" s="445"/>
      <c r="N25" s="443"/>
      <c r="O25" s="444"/>
      <c r="P25" s="446"/>
      <c r="Q25" s="193"/>
      <c r="R25" s="193"/>
      <c r="S25" s="193"/>
      <c r="T25" s="193"/>
      <c r="U25" s="193"/>
      <c r="V25" s="396"/>
      <c r="W25" s="198"/>
    </row>
    <row r="26" spans="1:23" ht="14.4" thickBot="1">
      <c r="A26" s="627"/>
      <c r="B26" s="628"/>
      <c r="C26" s="194" t="s">
        <v>137</v>
      </c>
      <c r="D26" s="194"/>
      <c r="E26" s="194"/>
      <c r="F26" s="194"/>
      <c r="G26" s="212"/>
      <c r="H26" s="257">
        <f>H24*H25</f>
        <v>0</v>
      </c>
      <c r="I26" s="258">
        <f t="shared" ref="I26:P26" si="4">I24*I25</f>
        <v>0</v>
      </c>
      <c r="J26" s="259">
        <f t="shared" si="4"/>
        <v>0</v>
      </c>
      <c r="K26" s="257">
        <f t="shared" si="4"/>
        <v>0</v>
      </c>
      <c r="L26" s="258">
        <f t="shared" si="4"/>
        <v>0</v>
      </c>
      <c r="M26" s="259">
        <f t="shared" si="4"/>
        <v>0</v>
      </c>
      <c r="N26" s="257">
        <f t="shared" si="4"/>
        <v>0</v>
      </c>
      <c r="O26" s="258">
        <f t="shared" si="4"/>
        <v>0</v>
      </c>
      <c r="P26" s="260">
        <f t="shared" si="4"/>
        <v>0</v>
      </c>
      <c r="Q26" s="193"/>
      <c r="R26" s="193"/>
      <c r="S26" s="193"/>
      <c r="T26" s="193"/>
      <c r="U26" s="193"/>
      <c r="V26" s="396"/>
      <c r="W26" s="198"/>
    </row>
    <row r="27" spans="1:23">
      <c r="A27" s="218"/>
      <c r="B27" s="193"/>
      <c r="C27" s="195"/>
      <c r="D27" s="193"/>
      <c r="E27" s="193"/>
      <c r="F27" s="193"/>
      <c r="G27" s="193"/>
      <c r="H27" s="193"/>
      <c r="I27" s="193"/>
      <c r="J27" s="193"/>
      <c r="K27" s="193"/>
      <c r="L27" s="193"/>
      <c r="M27" s="193"/>
      <c r="N27" s="193"/>
      <c r="O27" s="193"/>
      <c r="P27" s="193"/>
      <c r="Q27" s="193"/>
      <c r="R27" s="193"/>
      <c r="S27" s="193"/>
      <c r="T27" s="193"/>
      <c r="U27" s="193"/>
      <c r="V27" s="396"/>
      <c r="W27" s="198"/>
    </row>
    <row r="28" spans="1:23">
      <c r="A28" s="218"/>
      <c r="B28" s="193"/>
      <c r="C28" s="193"/>
      <c r="D28" s="193"/>
      <c r="E28" s="193"/>
      <c r="F28" s="193"/>
      <c r="G28" s="193"/>
      <c r="H28" s="193"/>
      <c r="I28" s="193"/>
      <c r="J28" s="193"/>
      <c r="K28" s="193"/>
      <c r="L28" s="193"/>
      <c r="M28" s="193"/>
      <c r="N28" s="193"/>
      <c r="O28" s="193"/>
      <c r="P28" s="193"/>
      <c r="Q28" s="193"/>
      <c r="R28" s="193"/>
      <c r="S28" s="287"/>
      <c r="T28" s="287"/>
      <c r="U28" s="287"/>
      <c r="W28" s="198"/>
    </row>
    <row r="29" spans="1:23" ht="14.4" thickBot="1">
      <c r="A29" s="194"/>
      <c r="B29" s="219"/>
      <c r="C29" s="194"/>
      <c r="D29" s="194"/>
      <c r="E29" s="194"/>
      <c r="F29" s="194"/>
      <c r="G29" s="194"/>
      <c r="H29" s="194"/>
      <c r="I29" s="194"/>
      <c r="J29" s="194"/>
      <c r="K29" s="194"/>
      <c r="L29" s="194"/>
      <c r="M29" s="194"/>
      <c r="N29" s="194"/>
      <c r="O29" s="194"/>
      <c r="P29" s="194"/>
      <c r="Q29" s="193"/>
      <c r="R29" s="193"/>
      <c r="S29" s="194" t="s">
        <v>158</v>
      </c>
      <c r="T29" s="194"/>
      <c r="U29" s="194"/>
      <c r="V29" s="193"/>
      <c r="W29" s="198"/>
    </row>
    <row r="30" spans="1:23">
      <c r="A30" s="625"/>
      <c r="B30" s="626"/>
      <c r="C30" s="222" t="s">
        <v>132</v>
      </c>
      <c r="D30" s="220"/>
      <c r="E30" s="220"/>
      <c r="F30" s="220"/>
      <c r="G30" s="220"/>
      <c r="H30" s="261"/>
      <c r="I30" s="262"/>
      <c r="J30" s="262"/>
      <c r="K30" s="263"/>
      <c r="L30" s="264"/>
      <c r="M30" s="264"/>
      <c r="N30" s="261"/>
      <c r="O30" s="262"/>
      <c r="P30" s="265"/>
      <c r="Q30" s="193"/>
      <c r="R30" s="198"/>
      <c r="S30" s="193" t="s">
        <v>28</v>
      </c>
      <c r="T30" s="193" t="s">
        <v>29</v>
      </c>
      <c r="U30" s="221" t="s">
        <v>30</v>
      </c>
      <c r="V30" s="393"/>
      <c r="W30" s="198"/>
    </row>
    <row r="31" spans="1:23" ht="14.4" thickBot="1">
      <c r="A31" s="625"/>
      <c r="B31" s="626"/>
      <c r="C31" s="230" t="s">
        <v>133</v>
      </c>
      <c r="D31" s="231"/>
      <c r="E31" s="231"/>
      <c r="F31" s="231"/>
      <c r="G31" s="266"/>
      <c r="H31" s="261"/>
      <c r="I31" s="262"/>
      <c r="J31" s="262"/>
      <c r="K31" s="261"/>
      <c r="L31" s="262"/>
      <c r="M31" s="262"/>
      <c r="N31" s="263"/>
      <c r="O31" s="264"/>
      <c r="P31" s="267"/>
      <c r="Q31" s="193"/>
      <c r="R31" s="198"/>
      <c r="S31" s="193" t="s">
        <v>32</v>
      </c>
      <c r="T31" s="193" t="s">
        <v>30</v>
      </c>
      <c r="U31" s="221" t="s">
        <v>29</v>
      </c>
      <c r="V31" s="394"/>
      <c r="W31" s="198"/>
    </row>
    <row r="32" spans="1:23">
      <c r="A32" s="625"/>
      <c r="B32" s="626"/>
      <c r="C32" s="193" t="s">
        <v>36</v>
      </c>
      <c r="D32" s="193" t="s">
        <v>28</v>
      </c>
      <c r="E32" s="193" t="s">
        <v>29</v>
      </c>
      <c r="F32" s="193" t="s">
        <v>30</v>
      </c>
      <c r="G32" s="193" t="s">
        <v>31</v>
      </c>
      <c r="H32" s="470"/>
      <c r="I32" s="471"/>
      <c r="J32" s="472"/>
      <c r="K32" s="470"/>
      <c r="L32" s="471"/>
      <c r="M32" s="471"/>
      <c r="N32" s="473">
        <f>1-(1-N30*$V30)^((N$5*N6)*(1-N10))</f>
        <v>0</v>
      </c>
      <c r="O32" s="474">
        <f>1-(1-O30*$V30)^((O$5*O6)*(1-O10))</f>
        <v>0</v>
      </c>
      <c r="P32" s="475">
        <f>1-(1-P30*$V30)^((P$5*P6)*(1-P10))</f>
        <v>0</v>
      </c>
      <c r="Q32" s="193"/>
      <c r="R32" s="198"/>
      <c r="S32" s="193" t="s">
        <v>28</v>
      </c>
      <c r="T32" s="193" t="s">
        <v>29</v>
      </c>
      <c r="U32" s="221" t="s">
        <v>33</v>
      </c>
      <c r="V32" s="394"/>
      <c r="W32" s="198"/>
    </row>
    <row r="33" spans="1:23" ht="14.4" thickBot="1">
      <c r="A33" s="625"/>
      <c r="B33" s="626"/>
      <c r="C33" s="193" t="s">
        <v>36</v>
      </c>
      <c r="D33" s="193" t="s">
        <v>32</v>
      </c>
      <c r="E33" s="193" t="s">
        <v>30</v>
      </c>
      <c r="F33" s="193" t="s">
        <v>29</v>
      </c>
      <c r="G33" s="193" t="s">
        <v>31</v>
      </c>
      <c r="H33" s="467">
        <f>1-(1-H31*$V31)^((H$5*H7)*(1-H11))</f>
        <v>0</v>
      </c>
      <c r="I33" s="468">
        <f t="shared" ref="I33:M33" si="5">1-(1-I31*$V31)^((I$5*I7)*(1-I11))</f>
        <v>0</v>
      </c>
      <c r="J33" s="469">
        <f t="shared" si="5"/>
        <v>0</v>
      </c>
      <c r="K33" s="467">
        <f t="shared" si="5"/>
        <v>0</v>
      </c>
      <c r="L33" s="468">
        <f t="shared" si="5"/>
        <v>0</v>
      </c>
      <c r="M33" s="469">
        <f t="shared" si="5"/>
        <v>0</v>
      </c>
      <c r="N33" s="330"/>
      <c r="O33" s="327"/>
      <c r="P33" s="476"/>
      <c r="Q33" s="193"/>
      <c r="R33" s="193"/>
      <c r="S33" s="239" t="s">
        <v>32</v>
      </c>
      <c r="T33" s="194" t="s">
        <v>33</v>
      </c>
      <c r="U33" s="212" t="s">
        <v>29</v>
      </c>
      <c r="V33" s="395"/>
      <c r="W33" s="198"/>
    </row>
    <row r="34" spans="1:23">
      <c r="A34" s="625"/>
      <c r="B34" s="626"/>
      <c r="C34" s="193" t="s">
        <v>36</v>
      </c>
      <c r="D34" s="193" t="s">
        <v>28</v>
      </c>
      <c r="E34" s="193" t="s">
        <v>29</v>
      </c>
      <c r="F34" s="193" t="s">
        <v>33</v>
      </c>
      <c r="G34" s="193" t="s">
        <v>31</v>
      </c>
      <c r="H34" s="467">
        <f>1-(1-H30*$V32)^((H$5*H8)*(1-H12))</f>
        <v>0</v>
      </c>
      <c r="I34" s="468">
        <f>1-(1-I30*$V32)^((I$5*I8)*(1-I12))</f>
        <v>0</v>
      </c>
      <c r="J34" s="469">
        <f>1-(1-J30*$V32)^((J$5*J8)*(1-J12))</f>
        <v>0</v>
      </c>
      <c r="K34" s="330"/>
      <c r="L34" s="327"/>
      <c r="M34" s="327"/>
      <c r="N34" s="330"/>
      <c r="O34" s="327"/>
      <c r="P34" s="476"/>
      <c r="Q34" s="193"/>
      <c r="R34" s="193"/>
      <c r="S34" s="193"/>
      <c r="T34" s="193"/>
      <c r="U34" s="193"/>
      <c r="V34" s="396"/>
      <c r="W34" s="198"/>
    </row>
    <row r="35" spans="1:23" ht="14.4" thickBot="1">
      <c r="A35" s="625" t="s">
        <v>43</v>
      </c>
      <c r="B35" s="626"/>
      <c r="C35" s="194" t="s">
        <v>36</v>
      </c>
      <c r="D35" s="194" t="s">
        <v>32</v>
      </c>
      <c r="E35" s="194" t="s">
        <v>33</v>
      </c>
      <c r="F35" s="194" t="s">
        <v>29</v>
      </c>
      <c r="G35" s="212" t="s">
        <v>31</v>
      </c>
      <c r="H35" s="246">
        <f>1-(1-H30*$V33)^((H$5*H9)*(1-H13))</f>
        <v>0</v>
      </c>
      <c r="I35" s="247">
        <f>1-(1-I30*$V33)^((I$5*I9)*(1-I13))</f>
        <v>0</v>
      </c>
      <c r="J35" s="271">
        <f>1-(1-J30*$V33)^((J$5*J9)*(1-J13))</f>
        <v>0</v>
      </c>
      <c r="K35" s="477"/>
      <c r="L35" s="478"/>
      <c r="M35" s="478"/>
      <c r="N35" s="477"/>
      <c r="O35" s="478"/>
      <c r="P35" s="479"/>
      <c r="Q35" s="193"/>
      <c r="R35" s="193"/>
      <c r="S35" s="193"/>
      <c r="T35" s="193"/>
      <c r="U35" s="193"/>
      <c r="V35" s="396"/>
      <c r="W35" s="198"/>
    </row>
    <row r="36" spans="1:23" ht="14.4" thickBot="1">
      <c r="A36" s="625"/>
      <c r="B36" s="626"/>
      <c r="C36" s="194" t="s">
        <v>37</v>
      </c>
      <c r="D36" s="194"/>
      <c r="E36" s="194"/>
      <c r="F36" s="194"/>
      <c r="G36" s="194"/>
      <c r="H36" s="246">
        <f t="shared" ref="H36:P36" si="6">SUM(H32:H35)</f>
        <v>0</v>
      </c>
      <c r="I36" s="247">
        <f t="shared" si="6"/>
        <v>0</v>
      </c>
      <c r="J36" s="271">
        <f t="shared" si="6"/>
        <v>0</v>
      </c>
      <c r="K36" s="246">
        <f t="shared" si="6"/>
        <v>0</v>
      </c>
      <c r="L36" s="247">
        <f t="shared" si="6"/>
        <v>0</v>
      </c>
      <c r="M36" s="247">
        <f t="shared" si="6"/>
        <v>0</v>
      </c>
      <c r="N36" s="246">
        <f>SUM(N32:N35)</f>
        <v>0</v>
      </c>
      <c r="O36" s="247">
        <f t="shared" si="6"/>
        <v>0</v>
      </c>
      <c r="P36" s="272">
        <f t="shared" si="6"/>
        <v>0</v>
      </c>
      <c r="Q36" s="193"/>
      <c r="R36" s="193"/>
      <c r="S36" s="193"/>
      <c r="T36" s="193"/>
      <c r="U36" s="193"/>
      <c r="V36" s="396"/>
      <c r="W36" s="198"/>
    </row>
    <row r="37" spans="1:23">
      <c r="A37" s="625"/>
      <c r="B37" s="626"/>
      <c r="C37" s="195" t="s">
        <v>135</v>
      </c>
      <c r="D37" s="195"/>
      <c r="E37" s="195"/>
      <c r="F37" s="195"/>
      <c r="G37" s="238"/>
      <c r="H37" s="273"/>
      <c r="I37" s="274"/>
      <c r="J37" s="275"/>
      <c r="K37" s="273"/>
      <c r="L37" s="274"/>
      <c r="M37" s="275"/>
      <c r="N37" s="273"/>
      <c r="O37" s="274"/>
      <c r="P37" s="276"/>
      <c r="Q37" s="193"/>
      <c r="R37" s="193"/>
      <c r="S37" s="193"/>
      <c r="T37" s="193"/>
      <c r="U37" s="193"/>
      <c r="V37" s="396"/>
      <c r="W37" s="198"/>
    </row>
    <row r="38" spans="1:23">
      <c r="A38" s="625"/>
      <c r="B38" s="626"/>
      <c r="C38" s="193" t="s">
        <v>136</v>
      </c>
      <c r="D38" s="193"/>
      <c r="E38" s="193"/>
      <c r="F38" s="193"/>
      <c r="G38" s="221"/>
      <c r="H38" s="277">
        <f>H36*H$4*(1-H37)</f>
        <v>0</v>
      </c>
      <c r="I38" s="278">
        <f t="shared" ref="I38:P38" si="7">I36*I$4*(1-I37)</f>
        <v>0</v>
      </c>
      <c r="J38" s="279">
        <f t="shared" si="7"/>
        <v>0</v>
      </c>
      <c r="K38" s="277">
        <f t="shared" si="7"/>
        <v>0</v>
      </c>
      <c r="L38" s="278">
        <f t="shared" si="7"/>
        <v>0</v>
      </c>
      <c r="M38" s="279">
        <f t="shared" si="7"/>
        <v>0</v>
      </c>
      <c r="N38" s="277">
        <f t="shared" si="7"/>
        <v>0</v>
      </c>
      <c r="O38" s="278">
        <f t="shared" si="7"/>
        <v>0</v>
      </c>
      <c r="P38" s="280">
        <f t="shared" si="7"/>
        <v>0</v>
      </c>
      <c r="Q38" s="193"/>
      <c r="R38" s="193"/>
      <c r="S38" s="193"/>
      <c r="T38" s="193"/>
      <c r="U38" s="193"/>
      <c r="V38" s="396"/>
      <c r="W38" s="198"/>
    </row>
    <row r="39" spans="1:23">
      <c r="A39" s="625"/>
      <c r="B39" s="626"/>
      <c r="C39" s="193" t="s">
        <v>38</v>
      </c>
      <c r="D39" s="193"/>
      <c r="E39" s="193"/>
      <c r="F39" s="193"/>
      <c r="G39" s="221"/>
      <c r="H39" s="438"/>
      <c r="I39" s="439"/>
      <c r="J39" s="440"/>
      <c r="K39" s="438"/>
      <c r="L39" s="439"/>
      <c r="M39" s="440"/>
      <c r="N39" s="438"/>
      <c r="O39" s="439"/>
      <c r="P39" s="441"/>
      <c r="Q39" s="193"/>
      <c r="R39" s="193"/>
      <c r="S39" s="193"/>
      <c r="T39" s="193"/>
      <c r="U39" s="193"/>
      <c r="V39" s="396"/>
      <c r="W39" s="198"/>
    </row>
    <row r="40" spans="1:23" ht="14.4" thickBot="1">
      <c r="A40" s="627"/>
      <c r="B40" s="628"/>
      <c r="C40" s="194" t="s">
        <v>137</v>
      </c>
      <c r="D40" s="194"/>
      <c r="E40" s="194"/>
      <c r="F40" s="194"/>
      <c r="G40" s="212"/>
      <c r="H40" s="281">
        <f>H38*H39</f>
        <v>0</v>
      </c>
      <c r="I40" s="308">
        <f t="shared" ref="I40:P40" si="8">I38*I39</f>
        <v>0</v>
      </c>
      <c r="J40" s="309">
        <f t="shared" si="8"/>
        <v>0</v>
      </c>
      <c r="K40" s="308">
        <f t="shared" si="8"/>
        <v>0</v>
      </c>
      <c r="L40" s="308">
        <f t="shared" si="8"/>
        <v>0</v>
      </c>
      <c r="M40" s="309">
        <f t="shared" si="8"/>
        <v>0</v>
      </c>
      <c r="N40" s="308">
        <f t="shared" si="8"/>
        <v>0</v>
      </c>
      <c r="O40" s="308">
        <f t="shared" si="8"/>
        <v>0</v>
      </c>
      <c r="P40" s="310">
        <f t="shared" si="8"/>
        <v>0</v>
      </c>
      <c r="Q40" s="193"/>
      <c r="R40" s="193"/>
      <c r="S40" s="193"/>
      <c r="T40" s="193"/>
      <c r="U40" s="193"/>
      <c r="V40" s="396"/>
      <c r="W40" s="198"/>
    </row>
    <row r="41" spans="1:23">
      <c r="A41" s="218"/>
      <c r="B41" s="193"/>
      <c r="C41" s="195"/>
      <c r="D41" s="193"/>
      <c r="E41" s="193"/>
      <c r="F41" s="193"/>
      <c r="G41" s="193"/>
      <c r="H41" s="193"/>
      <c r="I41" s="193"/>
      <c r="J41" s="193"/>
      <c r="K41" s="193"/>
      <c r="L41" s="193"/>
      <c r="M41" s="193"/>
      <c r="N41" s="193"/>
      <c r="O41" s="193"/>
      <c r="P41" s="193"/>
      <c r="Q41" s="193"/>
      <c r="R41" s="193"/>
      <c r="S41" s="193"/>
      <c r="T41" s="193"/>
      <c r="U41" s="193"/>
      <c r="V41" s="396"/>
      <c r="W41" s="198"/>
    </row>
    <row r="42" spans="1:23" ht="14.4" thickBot="1">
      <c r="A42" s="218"/>
      <c r="B42" s="193"/>
      <c r="C42" s="194"/>
      <c r="D42" s="194"/>
      <c r="E42" s="194"/>
      <c r="F42" s="194"/>
      <c r="G42" s="194"/>
      <c r="H42" s="194"/>
      <c r="I42" s="194"/>
      <c r="J42" s="194"/>
      <c r="K42" s="193"/>
      <c r="L42" s="193"/>
      <c r="M42" s="193"/>
      <c r="N42" s="193"/>
      <c r="O42" s="193"/>
      <c r="P42" s="193"/>
      <c r="Q42" s="193"/>
      <c r="R42" s="193"/>
      <c r="S42" s="193"/>
      <c r="T42" s="193"/>
      <c r="U42" s="193"/>
      <c r="V42" s="397"/>
      <c r="W42" s="198"/>
    </row>
    <row r="43" spans="1:23">
      <c r="A43" s="630"/>
      <c r="B43" s="631"/>
      <c r="C43" s="222" t="s">
        <v>132</v>
      </c>
      <c r="D43" s="220"/>
      <c r="E43" s="220"/>
      <c r="F43" s="220"/>
      <c r="G43" s="220"/>
      <c r="H43" s="232"/>
      <c r="I43" s="233"/>
      <c r="J43" s="233"/>
      <c r="K43" s="235"/>
      <c r="L43" s="236"/>
      <c r="M43" s="236"/>
      <c r="N43" s="324"/>
      <c r="O43" s="324"/>
      <c r="P43" s="324"/>
      <c r="Q43" s="193"/>
      <c r="R43" s="193"/>
      <c r="S43" s="193"/>
      <c r="T43" s="193"/>
      <c r="U43" s="193"/>
      <c r="V43" s="285"/>
      <c r="W43" s="198"/>
    </row>
    <row r="44" spans="1:23" ht="14.4" thickBot="1">
      <c r="A44" s="625"/>
      <c r="B44" s="626"/>
      <c r="C44" s="230" t="s">
        <v>133</v>
      </c>
      <c r="D44" s="231"/>
      <c r="E44" s="231"/>
      <c r="F44" s="231"/>
      <c r="G44" s="266"/>
      <c r="H44" s="232"/>
      <c r="I44" s="233"/>
      <c r="J44" s="233"/>
      <c r="K44" s="323"/>
      <c r="L44" s="324"/>
      <c r="M44" s="324"/>
      <c r="N44" s="236"/>
      <c r="O44" s="236"/>
      <c r="P44" s="236"/>
      <c r="Q44" s="193"/>
      <c r="R44" s="193"/>
      <c r="S44" s="194" t="s">
        <v>158</v>
      </c>
      <c r="T44" s="193"/>
      <c r="U44" s="193"/>
      <c r="V44" s="285"/>
      <c r="W44" s="198"/>
    </row>
    <row r="45" spans="1:23">
      <c r="A45" s="625"/>
      <c r="B45" s="626"/>
      <c r="C45" s="193" t="s">
        <v>36</v>
      </c>
      <c r="D45" s="193" t="s">
        <v>28</v>
      </c>
      <c r="E45" s="193" t="s">
        <v>29</v>
      </c>
      <c r="F45" s="193" t="s">
        <v>30</v>
      </c>
      <c r="G45" s="193" t="s">
        <v>31</v>
      </c>
      <c r="H45" s="470"/>
      <c r="I45" s="471"/>
      <c r="J45" s="472"/>
      <c r="K45" s="283"/>
      <c r="L45" s="284"/>
      <c r="M45" s="284"/>
      <c r="N45" s="326"/>
      <c r="O45" s="326"/>
      <c r="P45" s="326"/>
      <c r="Q45" s="193"/>
      <c r="R45" s="198"/>
      <c r="S45" s="195" t="s">
        <v>28</v>
      </c>
      <c r="T45" s="195" t="s">
        <v>29</v>
      </c>
      <c r="U45" s="238" t="s">
        <v>33</v>
      </c>
      <c r="V45" s="345"/>
      <c r="W45" s="198"/>
    </row>
    <row r="46" spans="1:23" ht="14.4" thickBot="1">
      <c r="A46" s="625"/>
      <c r="B46" s="626"/>
      <c r="C46" s="193" t="s">
        <v>36</v>
      </c>
      <c r="D46" s="193" t="s">
        <v>32</v>
      </c>
      <c r="E46" s="193" t="s">
        <v>30</v>
      </c>
      <c r="F46" s="193" t="s">
        <v>29</v>
      </c>
      <c r="G46" s="193" t="s">
        <v>31</v>
      </c>
      <c r="H46" s="330"/>
      <c r="I46" s="327"/>
      <c r="J46" s="483"/>
      <c r="K46" s="325"/>
      <c r="L46" s="326"/>
      <c r="M46" s="326"/>
      <c r="N46" s="193"/>
      <c r="O46" s="193"/>
      <c r="P46" s="193"/>
      <c r="Q46" s="193"/>
      <c r="R46" s="198"/>
      <c r="S46" s="194" t="s">
        <v>32</v>
      </c>
      <c r="T46" s="194" t="s">
        <v>33</v>
      </c>
      <c r="U46" s="212" t="s">
        <v>29</v>
      </c>
      <c r="V46" s="398"/>
      <c r="W46" s="198"/>
    </row>
    <row r="47" spans="1:23">
      <c r="A47" s="625"/>
      <c r="B47" s="626"/>
      <c r="C47" s="193" t="s">
        <v>36</v>
      </c>
      <c r="D47" s="193" t="s">
        <v>28</v>
      </c>
      <c r="E47" s="193" t="s">
        <v>29</v>
      </c>
      <c r="F47" s="193" t="s">
        <v>33</v>
      </c>
      <c r="G47" s="193" t="s">
        <v>31</v>
      </c>
      <c r="H47" s="467">
        <f>1-((1-H43)+H43*((1-$V45)^(H$5*(1-H12))))^H8</f>
        <v>0</v>
      </c>
      <c r="I47" s="468">
        <f>1-((1-I43)+I43*((1-$V45)^(I$5*(1-I12))))^I8</f>
        <v>0</v>
      </c>
      <c r="J47" s="469">
        <f>1-((1-J43)+J43*((1-$V45)^(J$5*(1-J12))))^J8</f>
        <v>0</v>
      </c>
      <c r="K47" s="240"/>
      <c r="L47" s="193"/>
      <c r="M47" s="193"/>
      <c r="N47" s="193"/>
      <c r="O47" s="193"/>
      <c r="P47" s="193"/>
      <c r="Q47" s="193"/>
      <c r="R47" s="193"/>
      <c r="S47" s="193"/>
      <c r="T47" s="193"/>
      <c r="U47" s="193"/>
      <c r="V47" s="282"/>
      <c r="W47" s="198"/>
    </row>
    <row r="48" spans="1:23" ht="14.4" thickBot="1">
      <c r="A48" s="625" t="s">
        <v>39</v>
      </c>
      <c r="B48" s="626"/>
      <c r="C48" s="241" t="s">
        <v>36</v>
      </c>
      <c r="D48" s="194" t="s">
        <v>32</v>
      </c>
      <c r="E48" s="194" t="s">
        <v>33</v>
      </c>
      <c r="F48" s="194" t="s">
        <v>29</v>
      </c>
      <c r="G48" s="212" t="s">
        <v>31</v>
      </c>
      <c r="H48" s="246">
        <f>1-((1-H43)+H43*((1-$V46)^(H$5*(1-H13))))^H9</f>
        <v>0</v>
      </c>
      <c r="I48" s="247">
        <f>1-((1-I43)+I43*((1-$V46)^(I$5*(1-I13))))^I9</f>
        <v>0</v>
      </c>
      <c r="J48" s="271">
        <f>1-((1-J43)+J43*((1-$V46)^(J$5*(1-J13))))^J9</f>
        <v>0</v>
      </c>
      <c r="K48" s="240"/>
      <c r="L48" s="193"/>
      <c r="M48" s="193"/>
      <c r="N48" s="193"/>
      <c r="O48" s="193"/>
      <c r="P48" s="193"/>
      <c r="Q48" s="193"/>
      <c r="R48" s="193"/>
      <c r="S48" s="193"/>
      <c r="T48" s="193"/>
      <c r="U48" s="193"/>
      <c r="V48" s="193"/>
      <c r="W48" s="198"/>
    </row>
    <row r="49" spans="1:23" ht="14.4" thickBot="1">
      <c r="A49" s="625"/>
      <c r="B49" s="626"/>
      <c r="C49" s="194" t="s">
        <v>37</v>
      </c>
      <c r="D49" s="194"/>
      <c r="E49" s="194"/>
      <c r="F49" s="194"/>
      <c r="G49" s="194"/>
      <c r="H49" s="246">
        <f t="shared" ref="H49:J49" si="9">SUM(H45:H48)</f>
        <v>0</v>
      </c>
      <c r="I49" s="247">
        <f t="shared" si="9"/>
        <v>0</v>
      </c>
      <c r="J49" s="247">
        <f t="shared" si="9"/>
        <v>0</v>
      </c>
      <c r="K49" s="330"/>
      <c r="L49" s="327"/>
      <c r="M49" s="327"/>
      <c r="N49" s="327"/>
      <c r="O49" s="327"/>
      <c r="P49" s="327"/>
      <c r="Q49" s="193"/>
      <c r="R49" s="193"/>
      <c r="S49" s="193"/>
      <c r="T49" s="193"/>
      <c r="U49" s="193"/>
      <c r="V49" s="193"/>
      <c r="W49" s="198"/>
    </row>
    <row r="50" spans="1:23">
      <c r="A50" s="625"/>
      <c r="B50" s="626"/>
      <c r="C50" s="195" t="s">
        <v>135</v>
      </c>
      <c r="D50" s="195"/>
      <c r="E50" s="195"/>
      <c r="F50" s="195"/>
      <c r="G50" s="238"/>
      <c r="H50" s="303"/>
      <c r="I50" s="304"/>
      <c r="J50" s="304"/>
      <c r="K50" s="323"/>
      <c r="L50" s="324"/>
      <c r="M50" s="324"/>
      <c r="N50" s="324"/>
      <c r="O50" s="324"/>
      <c r="P50" s="324"/>
      <c r="Q50" s="193"/>
      <c r="R50" s="193"/>
      <c r="S50" s="193"/>
      <c r="T50" s="193"/>
      <c r="U50" s="193"/>
      <c r="V50" s="193"/>
      <c r="W50" s="198"/>
    </row>
    <row r="51" spans="1:23">
      <c r="A51" s="625"/>
      <c r="B51" s="626"/>
      <c r="C51" s="193" t="s">
        <v>136</v>
      </c>
      <c r="D51" s="193"/>
      <c r="E51" s="193"/>
      <c r="F51" s="193"/>
      <c r="G51" s="221"/>
      <c r="H51" s="255">
        <f>H49*H$4*(1-H50)</f>
        <v>0</v>
      </c>
      <c r="I51" s="253">
        <f t="shared" ref="I51:J51" si="10">I49*I$4*(1-I50)</f>
        <v>0</v>
      </c>
      <c r="J51" s="253">
        <f t="shared" si="10"/>
        <v>0</v>
      </c>
      <c r="K51" s="331"/>
      <c r="L51" s="328"/>
      <c r="M51" s="328"/>
      <c r="N51" s="328"/>
      <c r="O51" s="328"/>
      <c r="P51" s="328"/>
      <c r="Q51" s="193"/>
      <c r="R51" s="193"/>
      <c r="S51" s="193"/>
      <c r="T51" s="193"/>
      <c r="U51" s="193"/>
      <c r="V51" s="193"/>
      <c r="W51" s="198"/>
    </row>
    <row r="52" spans="1:23">
      <c r="A52" s="625"/>
      <c r="B52" s="626"/>
      <c r="C52" s="193" t="s">
        <v>38</v>
      </c>
      <c r="D52" s="193"/>
      <c r="E52" s="193"/>
      <c r="F52" s="193"/>
      <c r="G52" s="221"/>
      <c r="H52" s="442"/>
      <c r="I52" s="439"/>
      <c r="J52" s="439"/>
      <c r="K52" s="332"/>
      <c r="L52" s="329"/>
      <c r="M52" s="329"/>
      <c r="N52" s="329"/>
      <c r="O52" s="329"/>
      <c r="P52" s="329"/>
      <c r="Q52" s="193"/>
      <c r="R52" s="193"/>
      <c r="S52" s="193"/>
      <c r="T52" s="193"/>
      <c r="U52" s="193"/>
      <c r="V52" s="193"/>
      <c r="W52" s="198"/>
    </row>
    <row r="53" spans="1:23" ht="14.4" thickBot="1">
      <c r="A53" s="627"/>
      <c r="B53" s="628"/>
      <c r="C53" s="194" t="s">
        <v>137</v>
      </c>
      <c r="D53" s="194"/>
      <c r="E53" s="194"/>
      <c r="F53" s="194"/>
      <c r="G53" s="212"/>
      <c r="H53" s="257">
        <f>H51*H52</f>
        <v>0</v>
      </c>
      <c r="I53" s="258">
        <f>I51*I52</f>
        <v>0</v>
      </c>
      <c r="J53" s="258">
        <f t="shared" ref="J53" si="11">J51*J52</f>
        <v>0</v>
      </c>
      <c r="K53" s="331"/>
      <c r="L53" s="328"/>
      <c r="M53" s="328"/>
      <c r="N53" s="328"/>
      <c r="O53" s="328"/>
      <c r="P53" s="328"/>
      <c r="Q53" s="193"/>
      <c r="R53" s="193"/>
      <c r="S53" s="193"/>
      <c r="T53" s="193"/>
      <c r="U53" s="193"/>
      <c r="V53" s="193"/>
      <c r="W53" s="198"/>
    </row>
    <row r="54" spans="1:23">
      <c r="A54" s="218"/>
      <c r="B54" s="193"/>
      <c r="C54" s="193"/>
      <c r="D54" s="193"/>
      <c r="E54" s="193"/>
      <c r="F54" s="193"/>
      <c r="G54" s="193"/>
      <c r="H54" s="193"/>
      <c r="I54" s="193"/>
      <c r="J54" s="193"/>
      <c r="K54" s="193"/>
      <c r="L54" s="193"/>
      <c r="M54" s="193"/>
      <c r="N54" s="193"/>
      <c r="O54" s="193"/>
      <c r="P54" s="193"/>
      <c r="Q54" s="193"/>
      <c r="R54" s="193"/>
      <c r="S54" s="193"/>
      <c r="T54" s="193"/>
      <c r="U54" s="193"/>
      <c r="V54" s="193"/>
      <c r="W54" s="198"/>
    </row>
    <row r="55" spans="1:23">
      <c r="A55" s="218"/>
      <c r="B55" s="193"/>
      <c r="C55" s="193"/>
      <c r="D55" s="193"/>
      <c r="E55" s="193"/>
      <c r="F55" s="193"/>
      <c r="G55" s="193"/>
      <c r="H55" s="193"/>
      <c r="I55" s="193"/>
      <c r="J55" s="193"/>
      <c r="K55" s="193"/>
      <c r="L55" s="193"/>
      <c r="M55" s="193"/>
      <c r="N55" s="193"/>
      <c r="O55" s="193"/>
      <c r="P55" s="193"/>
      <c r="Q55" s="193"/>
      <c r="R55" s="193"/>
      <c r="S55" s="193"/>
      <c r="T55" s="193"/>
      <c r="U55" s="193"/>
      <c r="V55" s="193"/>
      <c r="W55" s="198"/>
    </row>
    <row r="56" spans="1:23" ht="14.4" thickBot="1">
      <c r="A56" s="239"/>
      <c r="B56" s="194"/>
      <c r="C56" s="194"/>
      <c r="D56" s="194"/>
      <c r="E56" s="194"/>
      <c r="F56" s="194"/>
      <c r="G56" s="194"/>
      <c r="H56" s="194"/>
      <c r="I56" s="194"/>
      <c r="J56" s="194"/>
      <c r="K56" s="194"/>
      <c r="L56" s="194"/>
      <c r="M56" s="194"/>
      <c r="N56" s="194"/>
      <c r="O56" s="194"/>
      <c r="P56" s="194"/>
      <c r="Q56" s="194"/>
      <c r="R56" s="194"/>
      <c r="S56" s="194"/>
      <c r="T56" s="194"/>
      <c r="U56" s="194"/>
      <c r="V56" s="194"/>
      <c r="W56" s="242"/>
    </row>
  </sheetData>
  <pageMargins left="0.7" right="0.7" top="0.75" bottom="0.75" header="0.3" footer="0.3"/>
  <drawing r:id="rId1"/>
  <legacyDrawing r:id="rId2"/>
  <controls>
    <mc:AlternateContent xmlns:mc="http://schemas.openxmlformats.org/markup-compatibility/2006">
      <mc:Choice Requires="x14">
        <control shapeId="32769" r:id="rId3" name="CommandButton1">
          <controlPr defaultSize="0" autoLine="0" altText="Back" r:id="rId4">
            <anchor moveWithCells="1">
              <from>
                <xdr:col>0</xdr:col>
                <xdr:colOff>114300</xdr:colOff>
                <xdr:row>0</xdr:row>
                <xdr:rowOff>45720</xdr:rowOff>
              </from>
              <to>
                <xdr:col>1</xdr:col>
                <xdr:colOff>30480</xdr:colOff>
                <xdr:row>2</xdr:row>
                <xdr:rowOff>121920</xdr:rowOff>
              </to>
            </anchor>
          </controlPr>
        </control>
      </mc:Choice>
      <mc:Fallback>
        <control shapeId="32769" r:id="rId3" name="CommandButton1"/>
      </mc:Fallback>
    </mc:AlternateContent>
  </control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autoPageBreaks="0"/>
  </sheetPr>
  <dimension ref="A1:W56"/>
  <sheetViews>
    <sheetView zoomScale="80" zoomScaleNormal="80" workbookViewId="0"/>
  </sheetViews>
  <sheetFormatPr defaultColWidth="9.109375" defaultRowHeight="13.8"/>
  <cols>
    <col min="1" max="2" width="9.109375" style="197"/>
    <col min="3" max="3" width="23.6640625" style="197" customWidth="1"/>
    <col min="4" max="4" width="10.44140625" style="197" customWidth="1"/>
    <col min="5" max="6" width="9.109375" style="197"/>
    <col min="7" max="7" width="19.6640625" style="197" customWidth="1"/>
    <col min="8" max="16" width="14.6640625" style="197" customWidth="1"/>
    <col min="17" max="17" width="2" style="197" customWidth="1"/>
    <col min="18" max="18" width="9.109375" style="197"/>
    <col min="19" max="19" width="10.88671875" style="197" customWidth="1"/>
    <col min="20" max="16384" width="9.109375" style="197"/>
  </cols>
  <sheetData>
    <row r="1" spans="1:23" ht="15" customHeight="1">
      <c r="A1" s="592"/>
      <c r="B1" s="633"/>
      <c r="C1" s="593"/>
      <c r="D1" s="593"/>
      <c r="E1" s="593"/>
      <c r="F1" s="593"/>
      <c r="G1" s="613"/>
      <c r="H1" s="590"/>
      <c r="I1" s="596" t="s">
        <v>73</v>
      </c>
      <c r="J1" s="598"/>
      <c r="K1" s="590"/>
      <c r="L1" s="590" t="s">
        <v>74</v>
      </c>
      <c r="M1" s="598"/>
      <c r="N1" s="590"/>
      <c r="O1" s="590" t="s">
        <v>75</v>
      </c>
      <c r="P1" s="590"/>
      <c r="Q1" s="195"/>
      <c r="R1" s="195"/>
      <c r="S1" s="195"/>
      <c r="T1" s="195"/>
      <c r="U1" s="195"/>
      <c r="V1" s="195"/>
      <c r="W1" s="196"/>
    </row>
    <row r="2" spans="1:23" ht="15" customHeight="1">
      <c r="A2" s="634"/>
      <c r="B2" s="632"/>
      <c r="C2" s="632" t="s">
        <v>52</v>
      </c>
      <c r="D2" s="408"/>
      <c r="E2" s="408"/>
      <c r="F2" s="408"/>
      <c r="G2" s="614"/>
      <c r="H2" s="591"/>
      <c r="I2" s="597"/>
      <c r="J2" s="599"/>
      <c r="K2" s="591"/>
      <c r="L2" s="591"/>
      <c r="M2" s="599"/>
      <c r="N2" s="591"/>
      <c r="O2" s="591"/>
      <c r="P2" s="591"/>
      <c r="Q2" s="193"/>
      <c r="R2" s="193"/>
      <c r="S2" s="193"/>
      <c r="T2" s="193"/>
      <c r="U2" s="193"/>
      <c r="V2" s="193"/>
      <c r="W2" s="198"/>
    </row>
    <row r="3" spans="1:23" ht="15.75" customHeight="1" thickBot="1">
      <c r="A3" s="635"/>
      <c r="B3" s="636"/>
      <c r="C3" s="219"/>
      <c r="D3" s="219"/>
      <c r="E3" s="219"/>
      <c r="F3" s="219"/>
      <c r="G3" s="615"/>
      <c r="H3" s="113" t="s">
        <v>4</v>
      </c>
      <c r="I3" s="113" t="s">
        <v>5</v>
      </c>
      <c r="J3" s="600">
        <v>18</v>
      </c>
      <c r="K3" s="113" t="s">
        <v>4</v>
      </c>
      <c r="L3" s="113" t="s">
        <v>5</v>
      </c>
      <c r="M3" s="600">
        <v>18</v>
      </c>
      <c r="N3" s="113" t="s">
        <v>4</v>
      </c>
      <c r="O3" s="113" t="s">
        <v>5</v>
      </c>
      <c r="P3" s="113">
        <v>18</v>
      </c>
      <c r="Q3" s="193"/>
      <c r="R3" s="199"/>
      <c r="S3" s="200"/>
      <c r="T3" s="193"/>
      <c r="U3" s="193"/>
      <c r="V3" s="193"/>
      <c r="W3" s="198"/>
    </row>
    <row r="4" spans="1:23" ht="14.4" thickBot="1">
      <c r="A4" s="640" t="s">
        <v>44</v>
      </c>
      <c r="B4" s="641"/>
      <c r="C4" s="193"/>
      <c r="D4" s="193"/>
      <c r="E4" s="193"/>
      <c r="F4" s="193"/>
      <c r="G4" s="611"/>
      <c r="H4" s="347"/>
      <c r="I4" s="347"/>
      <c r="J4" s="601"/>
      <c r="K4" s="347"/>
      <c r="L4" s="347"/>
      <c r="M4" s="450"/>
      <c r="N4" s="347"/>
      <c r="O4" s="347"/>
      <c r="P4" s="348"/>
      <c r="Q4" s="193"/>
      <c r="S4" s="201"/>
      <c r="T4" s="456" t="s">
        <v>41</v>
      </c>
      <c r="U4" s="456"/>
      <c r="V4" s="457"/>
      <c r="W4" s="198"/>
    </row>
    <row r="5" spans="1:23" ht="15" customHeight="1" thickBot="1">
      <c r="A5" s="621"/>
      <c r="B5" s="616"/>
      <c r="C5" s="452" t="s">
        <v>164</v>
      </c>
      <c r="D5" s="453"/>
      <c r="E5" s="453"/>
      <c r="F5" s="453"/>
      <c r="G5" s="612"/>
      <c r="H5" s="454"/>
      <c r="I5" s="454"/>
      <c r="J5" s="602"/>
      <c r="K5" s="454"/>
      <c r="L5" s="454"/>
      <c r="M5" s="602"/>
      <c r="N5" s="454"/>
      <c r="O5" s="454"/>
      <c r="P5" s="455"/>
      <c r="Q5" s="193"/>
      <c r="R5" s="287"/>
      <c r="S5" s="205"/>
      <c r="T5" s="458" t="s">
        <v>40</v>
      </c>
      <c r="U5" s="458"/>
      <c r="V5" s="459"/>
      <c r="W5" s="198"/>
    </row>
    <row r="6" spans="1:23" ht="14.4" thickBot="1">
      <c r="A6" s="624"/>
      <c r="B6" s="618"/>
      <c r="C6" s="218" t="s">
        <v>165</v>
      </c>
      <c r="D6" s="193" t="s">
        <v>28</v>
      </c>
      <c r="E6" s="193" t="s">
        <v>29</v>
      </c>
      <c r="F6" s="193" t="s">
        <v>30</v>
      </c>
      <c r="G6" s="221" t="s">
        <v>163</v>
      </c>
      <c r="H6" s="202"/>
      <c r="I6" s="202"/>
      <c r="J6" s="603"/>
      <c r="K6" s="216"/>
      <c r="L6" s="216"/>
      <c r="M6" s="606"/>
      <c r="N6" s="203"/>
      <c r="O6" s="203"/>
      <c r="P6" s="204"/>
      <c r="Q6" s="193"/>
      <c r="S6" s="209"/>
      <c r="T6" s="210" t="s">
        <v>134</v>
      </c>
      <c r="U6" s="210"/>
      <c r="V6" s="211"/>
      <c r="W6" s="198"/>
    </row>
    <row r="7" spans="1:23">
      <c r="A7" s="622" t="s">
        <v>241</v>
      </c>
      <c r="B7" s="618"/>
      <c r="C7" s="218" t="s">
        <v>165</v>
      </c>
      <c r="D7" s="193" t="s">
        <v>32</v>
      </c>
      <c r="E7" s="193" t="s">
        <v>30</v>
      </c>
      <c r="F7" s="193" t="s">
        <v>29</v>
      </c>
      <c r="G7" s="221" t="s">
        <v>163</v>
      </c>
      <c r="H7" s="206"/>
      <c r="I7" s="206"/>
      <c r="J7" s="604"/>
      <c r="K7" s="206"/>
      <c r="L7" s="206"/>
      <c r="M7" s="604"/>
      <c r="N7" s="207"/>
      <c r="O7" s="207"/>
      <c r="P7" s="208"/>
      <c r="Q7" s="193"/>
      <c r="R7" s="193"/>
      <c r="S7" s="193"/>
      <c r="T7" s="193"/>
      <c r="U7" s="193"/>
      <c r="V7" s="193"/>
      <c r="W7" s="198"/>
    </row>
    <row r="8" spans="1:23">
      <c r="A8" s="622" t="s">
        <v>242</v>
      </c>
      <c r="B8" s="618"/>
      <c r="C8" s="218" t="s">
        <v>165</v>
      </c>
      <c r="D8" s="193" t="s">
        <v>28</v>
      </c>
      <c r="E8" s="193" t="s">
        <v>29</v>
      </c>
      <c r="F8" s="193" t="s">
        <v>33</v>
      </c>
      <c r="G8" s="221" t="s">
        <v>163</v>
      </c>
      <c r="H8" s="206"/>
      <c r="I8" s="206"/>
      <c r="J8" s="604"/>
      <c r="K8" s="207"/>
      <c r="L8" s="207"/>
      <c r="M8" s="609"/>
      <c r="N8" s="207"/>
      <c r="O8" s="207"/>
      <c r="P8" s="208"/>
      <c r="Q8" s="193"/>
      <c r="R8" s="193"/>
      <c r="S8" s="193"/>
      <c r="T8" s="193"/>
      <c r="U8" s="193"/>
      <c r="V8" s="193"/>
      <c r="W8" s="198"/>
    </row>
    <row r="9" spans="1:23" ht="14.4" thickBot="1">
      <c r="A9" s="623"/>
      <c r="B9" s="618"/>
      <c r="C9" s="239" t="s">
        <v>165</v>
      </c>
      <c r="D9" s="194" t="s">
        <v>32</v>
      </c>
      <c r="E9" s="194" t="s">
        <v>33</v>
      </c>
      <c r="F9" s="194" t="s">
        <v>29</v>
      </c>
      <c r="G9" s="221" t="s">
        <v>163</v>
      </c>
      <c r="H9" s="213"/>
      <c r="I9" s="213"/>
      <c r="J9" s="605"/>
      <c r="K9" s="214"/>
      <c r="L9" s="214"/>
      <c r="M9" s="610"/>
      <c r="N9" s="214"/>
      <c r="O9" s="214"/>
      <c r="P9" s="215"/>
      <c r="Q9" s="193"/>
      <c r="R9" s="193"/>
      <c r="S9" s="193"/>
      <c r="T9" s="193"/>
      <c r="U9" s="193"/>
      <c r="V9" s="193"/>
      <c r="W9" s="198"/>
    </row>
    <row r="10" spans="1:23">
      <c r="A10" s="622" t="s">
        <v>243</v>
      </c>
      <c r="B10" s="618"/>
      <c r="C10" s="451" t="s">
        <v>34</v>
      </c>
      <c r="D10" s="193" t="s">
        <v>28</v>
      </c>
      <c r="E10" s="193" t="s">
        <v>29</v>
      </c>
      <c r="F10" s="193" t="s">
        <v>30</v>
      </c>
      <c r="G10" s="238" t="s">
        <v>35</v>
      </c>
      <c r="H10" s="216"/>
      <c r="I10" s="216"/>
      <c r="J10" s="606"/>
      <c r="K10" s="202"/>
      <c r="L10" s="202"/>
      <c r="M10" s="603"/>
      <c r="N10" s="447"/>
      <c r="O10" s="447"/>
      <c r="P10" s="449"/>
      <c r="Q10" s="193"/>
      <c r="R10" s="193"/>
      <c r="S10" s="193"/>
      <c r="T10" s="193"/>
      <c r="U10" s="193"/>
      <c r="V10" s="193"/>
      <c r="W10" s="198"/>
    </row>
    <row r="11" spans="1:23">
      <c r="A11" s="623" t="s">
        <v>244</v>
      </c>
      <c r="B11" s="618"/>
      <c r="C11" s="218" t="s">
        <v>34</v>
      </c>
      <c r="D11" s="193" t="s">
        <v>32</v>
      </c>
      <c r="E11" s="193" t="s">
        <v>30</v>
      </c>
      <c r="F11" s="193" t="s">
        <v>29</v>
      </c>
      <c r="G11" s="221" t="s">
        <v>35</v>
      </c>
      <c r="H11" s="447"/>
      <c r="I11" s="447"/>
      <c r="J11" s="607"/>
      <c r="K11" s="447"/>
      <c r="L11" s="447"/>
      <c r="M11" s="607"/>
      <c r="N11" s="216"/>
      <c r="O11" s="216"/>
      <c r="P11" s="217"/>
      <c r="Q11" s="193"/>
      <c r="R11" s="193"/>
      <c r="S11" s="193"/>
      <c r="T11" s="193"/>
      <c r="U11" s="193"/>
      <c r="V11" s="193"/>
      <c r="W11" s="198"/>
    </row>
    <row r="12" spans="1:23">
      <c r="A12" s="617"/>
      <c r="B12" s="618"/>
      <c r="C12" s="218" t="s">
        <v>34</v>
      </c>
      <c r="D12" s="193" t="s">
        <v>28</v>
      </c>
      <c r="E12" s="193" t="s">
        <v>29</v>
      </c>
      <c r="F12" s="193" t="s">
        <v>33</v>
      </c>
      <c r="G12" s="221" t="s">
        <v>35</v>
      </c>
      <c r="H12" s="447"/>
      <c r="I12" s="447"/>
      <c r="J12" s="607"/>
      <c r="K12" s="216"/>
      <c r="L12" s="216"/>
      <c r="M12" s="606"/>
      <c r="N12" s="216"/>
      <c r="O12" s="216"/>
      <c r="P12" s="217"/>
      <c r="Q12" s="193"/>
      <c r="R12" s="193"/>
      <c r="S12" s="193"/>
      <c r="T12" s="193"/>
      <c r="U12" s="193"/>
      <c r="V12" s="193"/>
      <c r="W12" s="198"/>
    </row>
    <row r="13" spans="1:23" ht="14.4" thickBot="1">
      <c r="A13" s="619"/>
      <c r="B13" s="620"/>
      <c r="C13" s="239" t="s">
        <v>34</v>
      </c>
      <c r="D13" s="194" t="s">
        <v>32</v>
      </c>
      <c r="E13" s="194" t="s">
        <v>33</v>
      </c>
      <c r="F13" s="194" t="s">
        <v>29</v>
      </c>
      <c r="G13" s="212" t="s">
        <v>35</v>
      </c>
      <c r="H13" s="448"/>
      <c r="I13" s="448"/>
      <c r="J13" s="608"/>
      <c r="K13" s="214"/>
      <c r="L13" s="214"/>
      <c r="M13" s="610"/>
      <c r="N13" s="214"/>
      <c r="O13" s="214"/>
      <c r="P13" s="215"/>
      <c r="Q13" s="193"/>
      <c r="R13" s="193"/>
      <c r="S13" s="193"/>
      <c r="T13" s="193"/>
      <c r="U13" s="193"/>
      <c r="V13" s="193"/>
      <c r="W13" s="198"/>
    </row>
    <row r="14" spans="1:23">
      <c r="A14" s="218"/>
      <c r="B14" s="193"/>
      <c r="C14" s="193"/>
      <c r="D14" s="193"/>
      <c r="E14" s="193"/>
      <c r="F14" s="193"/>
      <c r="G14" s="193"/>
      <c r="H14" s="193"/>
      <c r="I14" s="193"/>
      <c r="J14" s="193"/>
      <c r="K14" s="193"/>
      <c r="L14" s="193"/>
      <c r="M14" s="193"/>
      <c r="N14" s="193"/>
      <c r="O14" s="193"/>
      <c r="P14" s="193"/>
      <c r="Q14" s="193"/>
      <c r="R14" s="193"/>
      <c r="S14" s="287"/>
      <c r="T14" s="287"/>
      <c r="U14" s="287"/>
      <c r="W14" s="198"/>
    </row>
    <row r="15" spans="1:23" ht="14.4" thickBot="1">
      <c r="A15" s="194"/>
      <c r="B15" s="219"/>
      <c r="C15" s="220"/>
      <c r="D15" s="220"/>
      <c r="E15" s="220"/>
      <c r="F15" s="220"/>
      <c r="G15" s="220"/>
      <c r="H15" s="193"/>
      <c r="I15" s="193"/>
      <c r="J15" s="193"/>
      <c r="K15" s="193"/>
      <c r="L15" s="193"/>
      <c r="M15" s="193"/>
      <c r="N15" s="193"/>
      <c r="O15" s="193"/>
      <c r="P15" s="193"/>
      <c r="Q15" s="193"/>
      <c r="R15" s="193"/>
      <c r="S15" s="194" t="s">
        <v>158</v>
      </c>
      <c r="T15" s="194"/>
      <c r="U15" s="194"/>
      <c r="V15" s="193"/>
      <c r="W15" s="198"/>
    </row>
    <row r="16" spans="1:23">
      <c r="A16" s="625"/>
      <c r="B16" s="626"/>
      <c r="C16" s="222" t="s">
        <v>132</v>
      </c>
      <c r="D16" s="223"/>
      <c r="E16" s="223"/>
      <c r="F16" s="223"/>
      <c r="G16" s="223"/>
      <c r="H16" s="224"/>
      <c r="I16" s="225"/>
      <c r="J16" s="226"/>
      <c r="K16" s="227"/>
      <c r="L16" s="228"/>
      <c r="M16" s="228"/>
      <c r="N16" s="224"/>
      <c r="O16" s="225"/>
      <c r="P16" s="229"/>
      <c r="Q16" s="193"/>
      <c r="R16" s="198"/>
      <c r="S16" s="193" t="s">
        <v>28</v>
      </c>
      <c r="T16" s="193" t="s">
        <v>29</v>
      </c>
      <c r="U16" s="221" t="s">
        <v>30</v>
      </c>
      <c r="V16" s="393"/>
      <c r="W16" s="198"/>
    </row>
    <row r="17" spans="1:23" ht="14.4" thickBot="1">
      <c r="A17" s="625"/>
      <c r="B17" s="626"/>
      <c r="C17" s="230" t="s">
        <v>133</v>
      </c>
      <c r="D17" s="231"/>
      <c r="E17" s="231"/>
      <c r="F17" s="231"/>
      <c r="G17" s="231"/>
      <c r="H17" s="232"/>
      <c r="I17" s="233"/>
      <c r="J17" s="234"/>
      <c r="K17" s="232"/>
      <c r="L17" s="233"/>
      <c r="M17" s="234"/>
      <c r="N17" s="235"/>
      <c r="O17" s="236"/>
      <c r="P17" s="237"/>
      <c r="Q17" s="193"/>
      <c r="R17" s="198"/>
      <c r="S17" s="193" t="s">
        <v>32</v>
      </c>
      <c r="T17" s="193" t="s">
        <v>30</v>
      </c>
      <c r="U17" s="221" t="s">
        <v>29</v>
      </c>
      <c r="V17" s="394"/>
      <c r="W17" s="198"/>
    </row>
    <row r="18" spans="1:23">
      <c r="A18" s="625"/>
      <c r="B18" s="626"/>
      <c r="C18" s="193" t="s">
        <v>36</v>
      </c>
      <c r="D18" s="193" t="s">
        <v>28</v>
      </c>
      <c r="E18" s="193" t="s">
        <v>29</v>
      </c>
      <c r="F18" s="193" t="s">
        <v>30</v>
      </c>
      <c r="G18" s="193" t="s">
        <v>31</v>
      </c>
      <c r="H18" s="480"/>
      <c r="I18" s="481"/>
      <c r="J18" s="482"/>
      <c r="K18" s="481"/>
      <c r="L18" s="481"/>
      <c r="M18" s="482"/>
      <c r="N18" s="473">
        <f>1-(1-N16*$V16)^((N$5*N6)*(1-N10))</f>
        <v>0</v>
      </c>
      <c r="O18" s="474">
        <f>1-(1-O16*$V16)^((O$5*O6)*(1-O10))</f>
        <v>0</v>
      </c>
      <c r="P18" s="475">
        <f>1-(1-P16*$V16)^((P$5*P6)*(1-P10))</f>
        <v>0</v>
      </c>
      <c r="Q18" s="193"/>
      <c r="R18" s="198"/>
      <c r="S18" s="193" t="s">
        <v>28</v>
      </c>
      <c r="T18" s="193" t="s">
        <v>29</v>
      </c>
      <c r="U18" s="221" t="s">
        <v>33</v>
      </c>
      <c r="V18" s="394"/>
      <c r="W18" s="198"/>
    </row>
    <row r="19" spans="1:23" ht="14.4" thickBot="1">
      <c r="A19" s="625"/>
      <c r="B19" s="626"/>
      <c r="C19" s="193" t="s">
        <v>36</v>
      </c>
      <c r="D19" s="193" t="s">
        <v>32</v>
      </c>
      <c r="E19" s="193" t="s">
        <v>30</v>
      </c>
      <c r="F19" s="193" t="s">
        <v>29</v>
      </c>
      <c r="G19" s="193" t="s">
        <v>31</v>
      </c>
      <c r="H19" s="467">
        <f t="shared" ref="H19:M19" si="0">1-(1-H17*$V17)^((H$5*H7)*(1-H11))</f>
        <v>0</v>
      </c>
      <c r="I19" s="468">
        <f t="shared" si="0"/>
        <v>0</v>
      </c>
      <c r="J19" s="469">
        <f t="shared" si="0"/>
        <v>0</v>
      </c>
      <c r="K19" s="468">
        <f t="shared" si="0"/>
        <v>0</v>
      </c>
      <c r="L19" s="468">
        <f t="shared" si="0"/>
        <v>0</v>
      </c>
      <c r="M19" s="469">
        <f t="shared" si="0"/>
        <v>0</v>
      </c>
      <c r="N19" s="330"/>
      <c r="O19" s="327"/>
      <c r="P19" s="476"/>
      <c r="Q19" s="193"/>
      <c r="R19" s="193"/>
      <c r="S19" s="239" t="s">
        <v>32</v>
      </c>
      <c r="T19" s="194" t="s">
        <v>33</v>
      </c>
      <c r="U19" s="212" t="s">
        <v>29</v>
      </c>
      <c r="V19" s="395"/>
      <c r="W19" s="198"/>
    </row>
    <row r="20" spans="1:23">
      <c r="A20" s="625"/>
      <c r="B20" s="626"/>
      <c r="C20" s="193" t="s">
        <v>36</v>
      </c>
      <c r="D20" s="193" t="s">
        <v>28</v>
      </c>
      <c r="E20" s="193" t="s">
        <v>29</v>
      </c>
      <c r="F20" s="193" t="s">
        <v>33</v>
      </c>
      <c r="G20" s="193" t="s">
        <v>31</v>
      </c>
      <c r="H20" s="467">
        <f>1-(1-H16*$V18)^((H$5*H8)*(1-H12))</f>
        <v>0</v>
      </c>
      <c r="I20" s="468">
        <f>1-(1-I16*$V18)^((I$5*I8)*(1-I12))</f>
        <v>0</v>
      </c>
      <c r="J20" s="469">
        <f>1-(1-J16*$V18)^((J$5*J8)*(1-J12))</f>
        <v>0</v>
      </c>
      <c r="K20" s="327"/>
      <c r="L20" s="327"/>
      <c r="M20" s="327"/>
      <c r="N20" s="330"/>
      <c r="O20" s="327"/>
      <c r="P20" s="476"/>
      <c r="Q20" s="193"/>
      <c r="R20" s="193"/>
      <c r="S20" s="193"/>
      <c r="T20" s="193"/>
      <c r="U20" s="193"/>
      <c r="V20" s="396"/>
      <c r="W20" s="198"/>
    </row>
    <row r="21" spans="1:23" ht="14.4" thickBot="1">
      <c r="A21" s="629" t="s">
        <v>42</v>
      </c>
      <c r="B21" s="626"/>
      <c r="C21" s="194" t="s">
        <v>36</v>
      </c>
      <c r="D21" s="194" t="s">
        <v>32</v>
      </c>
      <c r="E21" s="194" t="s">
        <v>33</v>
      </c>
      <c r="F21" s="194" t="s">
        <v>29</v>
      </c>
      <c r="G21" s="194" t="s">
        <v>31</v>
      </c>
      <c r="H21" s="246">
        <f>1-(1-H16*$V19)^((H$5*H9)*(1-H13))</f>
        <v>0</v>
      </c>
      <c r="I21" s="247">
        <f>1-(1-I16*$V19)^((I$5*I9)*(1-I13))</f>
        <v>0</v>
      </c>
      <c r="J21" s="271">
        <f>1-(1-J16*$V19)^((J$5*J9)*(1-J13))</f>
        <v>0</v>
      </c>
      <c r="K21" s="478"/>
      <c r="L21" s="478"/>
      <c r="M21" s="478"/>
      <c r="N21" s="477"/>
      <c r="O21" s="478"/>
      <c r="P21" s="479"/>
      <c r="Q21" s="193"/>
      <c r="R21" s="193"/>
      <c r="S21" s="193"/>
      <c r="T21" s="193"/>
      <c r="U21" s="193"/>
      <c r="V21" s="396"/>
      <c r="W21" s="198"/>
    </row>
    <row r="22" spans="1:23" ht="14.4" thickBot="1">
      <c r="A22" s="625"/>
      <c r="B22" s="626"/>
      <c r="C22" s="194" t="s">
        <v>37</v>
      </c>
      <c r="D22" s="194"/>
      <c r="E22" s="194"/>
      <c r="F22" s="194"/>
      <c r="G22" s="194"/>
      <c r="H22" s="243">
        <f t="shared" ref="H22:M22" si="1">SUM(H19:H21)</f>
        <v>0</v>
      </c>
      <c r="I22" s="244">
        <f t="shared" si="1"/>
        <v>0</v>
      </c>
      <c r="J22" s="245">
        <f>SUM(J19:J21)</f>
        <v>0</v>
      </c>
      <c r="K22" s="246">
        <f t="shared" si="1"/>
        <v>0</v>
      </c>
      <c r="L22" s="247">
        <f t="shared" si="1"/>
        <v>0</v>
      </c>
      <c r="M22" s="247">
        <f t="shared" si="1"/>
        <v>0</v>
      </c>
      <c r="N22" s="246">
        <f t="shared" ref="N22:P22" si="2">SUM(N18:N21)</f>
        <v>0</v>
      </c>
      <c r="O22" s="247">
        <f t="shared" si="2"/>
        <v>0</v>
      </c>
      <c r="P22" s="248">
        <f t="shared" si="2"/>
        <v>0</v>
      </c>
      <c r="Q22" s="193"/>
      <c r="R22" s="193"/>
      <c r="S22" s="193"/>
      <c r="T22" s="193"/>
      <c r="U22" s="193"/>
      <c r="V22" s="396"/>
      <c r="W22" s="198"/>
    </row>
    <row r="23" spans="1:23">
      <c r="A23" s="625"/>
      <c r="B23" s="626"/>
      <c r="C23" s="195" t="s">
        <v>135</v>
      </c>
      <c r="D23" s="195"/>
      <c r="E23" s="195"/>
      <c r="F23" s="195"/>
      <c r="G23" s="238"/>
      <c r="H23" s="249"/>
      <c r="I23" s="250"/>
      <c r="J23" s="251"/>
      <c r="K23" s="249"/>
      <c r="L23" s="250"/>
      <c r="M23" s="251"/>
      <c r="N23" s="249"/>
      <c r="O23" s="250"/>
      <c r="P23" s="252"/>
      <c r="Q23" s="193"/>
      <c r="R23" s="193"/>
      <c r="S23" s="193"/>
      <c r="T23" s="193"/>
      <c r="U23" s="193"/>
      <c r="V23" s="396"/>
      <c r="W23" s="198"/>
    </row>
    <row r="24" spans="1:23">
      <c r="A24" s="625"/>
      <c r="B24" s="626"/>
      <c r="C24" s="193" t="s">
        <v>136</v>
      </c>
      <c r="D24" s="193"/>
      <c r="E24" s="193"/>
      <c r="F24" s="193"/>
      <c r="G24" s="221"/>
      <c r="H24" s="253">
        <f>H22*H$4*(1-H23)</f>
        <v>0</v>
      </c>
      <c r="I24" s="253">
        <f>I22*I$4*(1-I23)</f>
        <v>0</v>
      </c>
      <c r="J24" s="254">
        <f>J22*J$4*(1-J23)</f>
        <v>0</v>
      </c>
      <c r="K24" s="255">
        <f>K22*K$4*(1-K23)</f>
        <v>0</v>
      </c>
      <c r="L24" s="253">
        <f t="shared" ref="L24:P24" si="3">L22*L$4*(1-L23)</f>
        <v>0</v>
      </c>
      <c r="M24" s="254">
        <f t="shared" si="3"/>
        <v>0</v>
      </c>
      <c r="N24" s="255">
        <f t="shared" si="3"/>
        <v>0</v>
      </c>
      <c r="O24" s="253">
        <f t="shared" si="3"/>
        <v>0</v>
      </c>
      <c r="P24" s="256">
        <f t="shared" si="3"/>
        <v>0</v>
      </c>
      <c r="Q24" s="193"/>
      <c r="R24" s="193"/>
      <c r="S24" s="193"/>
      <c r="T24" s="193"/>
      <c r="U24" s="193"/>
      <c r="V24" s="396"/>
      <c r="W24" s="198"/>
    </row>
    <row r="25" spans="1:23">
      <c r="A25" s="625"/>
      <c r="B25" s="626"/>
      <c r="C25" s="193" t="s">
        <v>38</v>
      </c>
      <c r="D25" s="193"/>
      <c r="E25" s="193"/>
      <c r="F25" s="193"/>
      <c r="G25" s="221"/>
      <c r="H25" s="443"/>
      <c r="I25" s="444"/>
      <c r="J25" s="445"/>
      <c r="K25" s="443"/>
      <c r="L25" s="444"/>
      <c r="M25" s="445"/>
      <c r="N25" s="443"/>
      <c r="O25" s="444"/>
      <c r="P25" s="446"/>
      <c r="Q25" s="193"/>
      <c r="R25" s="193"/>
      <c r="S25" s="193"/>
      <c r="T25" s="193"/>
      <c r="U25" s="193"/>
      <c r="V25" s="396"/>
      <c r="W25" s="198"/>
    </row>
    <row r="26" spans="1:23" ht="14.4" thickBot="1">
      <c r="A26" s="627"/>
      <c r="B26" s="628"/>
      <c r="C26" s="194" t="s">
        <v>137</v>
      </c>
      <c r="D26" s="194"/>
      <c r="E26" s="194"/>
      <c r="F26" s="194"/>
      <c r="G26" s="212"/>
      <c r="H26" s="257">
        <f>H24*H25</f>
        <v>0</v>
      </c>
      <c r="I26" s="258">
        <f t="shared" ref="I26:P26" si="4">I24*I25</f>
        <v>0</v>
      </c>
      <c r="J26" s="259">
        <f t="shared" si="4"/>
        <v>0</v>
      </c>
      <c r="K26" s="257">
        <f t="shared" si="4"/>
        <v>0</v>
      </c>
      <c r="L26" s="258">
        <f t="shared" si="4"/>
        <v>0</v>
      </c>
      <c r="M26" s="259">
        <f t="shared" si="4"/>
        <v>0</v>
      </c>
      <c r="N26" s="257">
        <f t="shared" si="4"/>
        <v>0</v>
      </c>
      <c r="O26" s="258">
        <f t="shared" si="4"/>
        <v>0</v>
      </c>
      <c r="P26" s="260">
        <f t="shared" si="4"/>
        <v>0</v>
      </c>
      <c r="Q26" s="193"/>
      <c r="R26" s="193"/>
      <c r="S26" s="193"/>
      <c r="T26" s="193"/>
      <c r="U26" s="193"/>
      <c r="V26" s="396"/>
      <c r="W26" s="198"/>
    </row>
    <row r="27" spans="1:23">
      <c r="A27" s="218"/>
      <c r="B27" s="193"/>
      <c r="C27" s="195"/>
      <c r="D27" s="193"/>
      <c r="E27" s="193"/>
      <c r="F27" s="193"/>
      <c r="G27" s="193"/>
      <c r="H27" s="193"/>
      <c r="I27" s="193"/>
      <c r="J27" s="193"/>
      <c r="K27" s="193"/>
      <c r="L27" s="193"/>
      <c r="M27" s="193"/>
      <c r="N27" s="193"/>
      <c r="O27" s="193"/>
      <c r="P27" s="193"/>
      <c r="Q27" s="193"/>
      <c r="R27" s="193"/>
      <c r="S27" s="193"/>
      <c r="T27" s="193"/>
      <c r="U27" s="193"/>
      <c r="V27" s="396"/>
      <c r="W27" s="198"/>
    </row>
    <row r="28" spans="1:23">
      <c r="A28" s="218"/>
      <c r="B28" s="193"/>
      <c r="C28" s="193"/>
      <c r="D28" s="193"/>
      <c r="E28" s="193"/>
      <c r="F28" s="193"/>
      <c r="G28" s="193"/>
      <c r="H28" s="193"/>
      <c r="I28" s="193"/>
      <c r="J28" s="193"/>
      <c r="K28" s="193"/>
      <c r="L28" s="193"/>
      <c r="M28" s="193"/>
      <c r="N28" s="193"/>
      <c r="O28" s="193"/>
      <c r="P28" s="193"/>
      <c r="Q28" s="193"/>
      <c r="R28" s="193"/>
      <c r="S28" s="287"/>
      <c r="T28" s="287"/>
      <c r="U28" s="287"/>
      <c r="W28" s="198"/>
    </row>
    <row r="29" spans="1:23" ht="14.4" thickBot="1">
      <c r="A29" s="194"/>
      <c r="B29" s="219"/>
      <c r="C29" s="194"/>
      <c r="D29" s="194"/>
      <c r="E29" s="194"/>
      <c r="F29" s="194"/>
      <c r="G29" s="194"/>
      <c r="H29" s="194"/>
      <c r="I29" s="194"/>
      <c r="J29" s="194"/>
      <c r="K29" s="194"/>
      <c r="L29" s="194"/>
      <c r="M29" s="194"/>
      <c r="N29" s="194"/>
      <c r="O29" s="194"/>
      <c r="P29" s="194"/>
      <c r="Q29" s="193"/>
      <c r="R29" s="193"/>
      <c r="S29" s="194" t="s">
        <v>158</v>
      </c>
      <c r="T29" s="194"/>
      <c r="U29" s="194"/>
      <c r="V29" s="193"/>
      <c r="W29" s="198"/>
    </row>
    <row r="30" spans="1:23">
      <c r="A30" s="625"/>
      <c r="B30" s="626"/>
      <c r="C30" s="222" t="s">
        <v>132</v>
      </c>
      <c r="D30" s="220"/>
      <c r="E30" s="220"/>
      <c r="F30" s="220"/>
      <c r="G30" s="220"/>
      <c r="H30" s="261"/>
      <c r="I30" s="262"/>
      <c r="J30" s="262"/>
      <c r="K30" s="263"/>
      <c r="L30" s="264"/>
      <c r="M30" s="264"/>
      <c r="N30" s="261"/>
      <c r="O30" s="262"/>
      <c r="P30" s="265"/>
      <c r="Q30" s="193"/>
      <c r="R30" s="198"/>
      <c r="S30" s="193" t="s">
        <v>28</v>
      </c>
      <c r="T30" s="193" t="s">
        <v>29</v>
      </c>
      <c r="U30" s="221" t="s">
        <v>30</v>
      </c>
      <c r="V30" s="393"/>
      <c r="W30" s="198"/>
    </row>
    <row r="31" spans="1:23" ht="14.4" thickBot="1">
      <c r="A31" s="625"/>
      <c r="B31" s="626"/>
      <c r="C31" s="230" t="s">
        <v>133</v>
      </c>
      <c r="D31" s="231"/>
      <c r="E31" s="231"/>
      <c r="F31" s="231"/>
      <c r="G31" s="266"/>
      <c r="H31" s="261"/>
      <c r="I31" s="262"/>
      <c r="J31" s="262"/>
      <c r="K31" s="261"/>
      <c r="L31" s="262"/>
      <c r="M31" s="262"/>
      <c r="N31" s="263"/>
      <c r="O31" s="264"/>
      <c r="P31" s="267"/>
      <c r="Q31" s="193"/>
      <c r="R31" s="198"/>
      <c r="S31" s="193" t="s">
        <v>32</v>
      </c>
      <c r="T31" s="193" t="s">
        <v>30</v>
      </c>
      <c r="U31" s="221" t="s">
        <v>29</v>
      </c>
      <c r="V31" s="394"/>
      <c r="W31" s="198"/>
    </row>
    <row r="32" spans="1:23">
      <c r="A32" s="625"/>
      <c r="B32" s="626"/>
      <c r="C32" s="193" t="s">
        <v>36</v>
      </c>
      <c r="D32" s="193" t="s">
        <v>28</v>
      </c>
      <c r="E32" s="193" t="s">
        <v>29</v>
      </c>
      <c r="F32" s="193" t="s">
        <v>30</v>
      </c>
      <c r="G32" s="193" t="s">
        <v>31</v>
      </c>
      <c r="H32" s="470"/>
      <c r="I32" s="471"/>
      <c r="J32" s="472"/>
      <c r="K32" s="470"/>
      <c r="L32" s="471"/>
      <c r="M32" s="471"/>
      <c r="N32" s="473">
        <f>1-(1-N30*$V30)^((N$5*N6)*(1-N10))</f>
        <v>0</v>
      </c>
      <c r="O32" s="474">
        <f>1-(1-O30*$V30)^((O$5*O6)*(1-O10))</f>
        <v>0</v>
      </c>
      <c r="P32" s="475">
        <f>1-(1-P30*$V30)^((P$5*P6)*(1-P10))</f>
        <v>0</v>
      </c>
      <c r="Q32" s="193"/>
      <c r="R32" s="198"/>
      <c r="S32" s="193" t="s">
        <v>28</v>
      </c>
      <c r="T32" s="193" t="s">
        <v>29</v>
      </c>
      <c r="U32" s="221" t="s">
        <v>33</v>
      </c>
      <c r="V32" s="394"/>
      <c r="W32" s="198"/>
    </row>
    <row r="33" spans="1:23" ht="14.4" thickBot="1">
      <c r="A33" s="625"/>
      <c r="B33" s="626"/>
      <c r="C33" s="193" t="s">
        <v>36</v>
      </c>
      <c r="D33" s="193" t="s">
        <v>32</v>
      </c>
      <c r="E33" s="193" t="s">
        <v>30</v>
      </c>
      <c r="F33" s="193" t="s">
        <v>29</v>
      </c>
      <c r="G33" s="193" t="s">
        <v>31</v>
      </c>
      <c r="H33" s="467">
        <f>1-(1-H31*$V31)^((H$5*H7)*(1-H11))</f>
        <v>0</v>
      </c>
      <c r="I33" s="468">
        <f t="shared" ref="I33:M33" si="5">1-(1-I31*$V31)^((I$5*I7)*(1-I11))</f>
        <v>0</v>
      </c>
      <c r="J33" s="469">
        <f t="shared" si="5"/>
        <v>0</v>
      </c>
      <c r="K33" s="467">
        <f t="shared" si="5"/>
        <v>0</v>
      </c>
      <c r="L33" s="468">
        <f t="shared" si="5"/>
        <v>0</v>
      </c>
      <c r="M33" s="469">
        <f t="shared" si="5"/>
        <v>0</v>
      </c>
      <c r="N33" s="330"/>
      <c r="O33" s="327"/>
      <c r="P33" s="476"/>
      <c r="Q33" s="193"/>
      <c r="R33" s="193"/>
      <c r="S33" s="239" t="s">
        <v>32</v>
      </c>
      <c r="T33" s="194" t="s">
        <v>33</v>
      </c>
      <c r="U33" s="212" t="s">
        <v>29</v>
      </c>
      <c r="V33" s="395"/>
      <c r="W33" s="198"/>
    </row>
    <row r="34" spans="1:23">
      <c r="A34" s="625"/>
      <c r="B34" s="626"/>
      <c r="C34" s="193" t="s">
        <v>36</v>
      </c>
      <c r="D34" s="193" t="s">
        <v>28</v>
      </c>
      <c r="E34" s="193" t="s">
        <v>29</v>
      </c>
      <c r="F34" s="193" t="s">
        <v>33</v>
      </c>
      <c r="G34" s="193" t="s">
        <v>31</v>
      </c>
      <c r="H34" s="467">
        <f>1-(1-H30*$V32)^((H$5*H8)*(1-H12))</f>
        <v>0</v>
      </c>
      <c r="I34" s="468">
        <f>1-(1-I30*$V32)^((I$5*I8)*(1-I12))</f>
        <v>0</v>
      </c>
      <c r="J34" s="469">
        <f>1-(1-J30*$V32)^((J$5*J8)*(1-J12))</f>
        <v>0</v>
      </c>
      <c r="K34" s="330"/>
      <c r="L34" s="327"/>
      <c r="M34" s="327"/>
      <c r="N34" s="330"/>
      <c r="O34" s="327"/>
      <c r="P34" s="476"/>
      <c r="Q34" s="193"/>
      <c r="R34" s="193"/>
      <c r="S34" s="193"/>
      <c r="T34" s="193"/>
      <c r="U34" s="193"/>
      <c r="V34" s="396"/>
      <c r="W34" s="198"/>
    </row>
    <row r="35" spans="1:23" ht="14.4" thickBot="1">
      <c r="A35" s="625" t="s">
        <v>43</v>
      </c>
      <c r="B35" s="626"/>
      <c r="C35" s="194" t="s">
        <v>36</v>
      </c>
      <c r="D35" s="194" t="s">
        <v>32</v>
      </c>
      <c r="E35" s="194" t="s">
        <v>33</v>
      </c>
      <c r="F35" s="194" t="s">
        <v>29</v>
      </c>
      <c r="G35" s="212" t="s">
        <v>31</v>
      </c>
      <c r="H35" s="246">
        <f>1-(1-H30*$V33)^((H$5*H9)*(1-H13))</f>
        <v>0</v>
      </c>
      <c r="I35" s="247">
        <f>1-(1-I30*$V33)^((I$5*I9)*(1-I13))</f>
        <v>0</v>
      </c>
      <c r="J35" s="271">
        <f>1-(1-J30*$V33)^((J$5*J9)*(1-J13))</f>
        <v>0</v>
      </c>
      <c r="K35" s="477"/>
      <c r="L35" s="478"/>
      <c r="M35" s="478"/>
      <c r="N35" s="477"/>
      <c r="O35" s="478"/>
      <c r="P35" s="479"/>
      <c r="Q35" s="193"/>
      <c r="R35" s="193"/>
      <c r="S35" s="193"/>
      <c r="T35" s="193"/>
      <c r="U35" s="193"/>
      <c r="V35" s="396"/>
      <c r="W35" s="198"/>
    </row>
    <row r="36" spans="1:23" ht="14.4" thickBot="1">
      <c r="A36" s="625"/>
      <c r="B36" s="626"/>
      <c r="C36" s="194" t="s">
        <v>37</v>
      </c>
      <c r="D36" s="194"/>
      <c r="E36" s="194"/>
      <c r="F36" s="194"/>
      <c r="G36" s="194"/>
      <c r="H36" s="246">
        <f t="shared" ref="H36:P36" si="6">SUM(H32:H35)</f>
        <v>0</v>
      </c>
      <c r="I36" s="247">
        <f t="shared" si="6"/>
        <v>0</v>
      </c>
      <c r="J36" s="271">
        <f t="shared" si="6"/>
        <v>0</v>
      </c>
      <c r="K36" s="246">
        <f t="shared" si="6"/>
        <v>0</v>
      </c>
      <c r="L36" s="247">
        <f t="shared" si="6"/>
        <v>0</v>
      </c>
      <c r="M36" s="247">
        <f t="shared" si="6"/>
        <v>0</v>
      </c>
      <c r="N36" s="246">
        <f>SUM(N32:N35)</f>
        <v>0</v>
      </c>
      <c r="O36" s="247">
        <f t="shared" si="6"/>
        <v>0</v>
      </c>
      <c r="P36" s="272">
        <f t="shared" si="6"/>
        <v>0</v>
      </c>
      <c r="Q36" s="193"/>
      <c r="R36" s="193"/>
      <c r="S36" s="193"/>
      <c r="T36" s="193"/>
      <c r="U36" s="193"/>
      <c r="V36" s="396"/>
      <c r="W36" s="198"/>
    </row>
    <row r="37" spans="1:23">
      <c r="A37" s="625"/>
      <c r="B37" s="626"/>
      <c r="C37" s="195" t="s">
        <v>135</v>
      </c>
      <c r="D37" s="195"/>
      <c r="E37" s="195"/>
      <c r="F37" s="195"/>
      <c r="G37" s="238"/>
      <c r="H37" s="273"/>
      <c r="I37" s="274"/>
      <c r="J37" s="275"/>
      <c r="K37" s="273"/>
      <c r="L37" s="274"/>
      <c r="M37" s="275"/>
      <c r="N37" s="273"/>
      <c r="O37" s="274"/>
      <c r="P37" s="276"/>
      <c r="Q37" s="193"/>
      <c r="R37" s="193"/>
      <c r="S37" s="193"/>
      <c r="T37" s="193"/>
      <c r="U37" s="193"/>
      <c r="V37" s="396"/>
      <c r="W37" s="198"/>
    </row>
    <row r="38" spans="1:23">
      <c r="A38" s="625"/>
      <c r="B38" s="626"/>
      <c r="C38" s="193" t="s">
        <v>136</v>
      </c>
      <c r="D38" s="193"/>
      <c r="E38" s="193"/>
      <c r="F38" s="193"/>
      <c r="G38" s="221"/>
      <c r="H38" s="277">
        <f>H36*H$4*(1-H37)</f>
        <v>0</v>
      </c>
      <c r="I38" s="278">
        <f t="shared" ref="I38:P38" si="7">I36*I$4*(1-I37)</f>
        <v>0</v>
      </c>
      <c r="J38" s="279">
        <f t="shared" si="7"/>
        <v>0</v>
      </c>
      <c r="K38" s="277">
        <f t="shared" si="7"/>
        <v>0</v>
      </c>
      <c r="L38" s="278">
        <f t="shared" si="7"/>
        <v>0</v>
      </c>
      <c r="M38" s="279">
        <f t="shared" si="7"/>
        <v>0</v>
      </c>
      <c r="N38" s="277">
        <f t="shared" si="7"/>
        <v>0</v>
      </c>
      <c r="O38" s="278">
        <f t="shared" si="7"/>
        <v>0</v>
      </c>
      <c r="P38" s="280">
        <f t="shared" si="7"/>
        <v>0</v>
      </c>
      <c r="Q38" s="193"/>
      <c r="R38" s="193"/>
      <c r="S38" s="193"/>
      <c r="T38" s="193"/>
      <c r="U38" s="193"/>
      <c r="V38" s="396"/>
      <c r="W38" s="198"/>
    </row>
    <row r="39" spans="1:23">
      <c r="A39" s="625"/>
      <c r="B39" s="626"/>
      <c r="C39" s="193" t="s">
        <v>38</v>
      </c>
      <c r="D39" s="193"/>
      <c r="E39" s="193"/>
      <c r="F39" s="193"/>
      <c r="G39" s="221"/>
      <c r="H39" s="438"/>
      <c r="I39" s="439"/>
      <c r="J39" s="440"/>
      <c r="K39" s="438"/>
      <c r="L39" s="439"/>
      <c r="M39" s="440"/>
      <c r="N39" s="438"/>
      <c r="O39" s="439"/>
      <c r="P39" s="441"/>
      <c r="Q39" s="193"/>
      <c r="R39" s="193"/>
      <c r="S39" s="193"/>
      <c r="T39" s="193"/>
      <c r="U39" s="193"/>
      <c r="V39" s="396"/>
      <c r="W39" s="198"/>
    </row>
    <row r="40" spans="1:23" ht="14.4" thickBot="1">
      <c r="A40" s="627"/>
      <c r="B40" s="628"/>
      <c r="C40" s="194" t="s">
        <v>137</v>
      </c>
      <c r="D40" s="194"/>
      <c r="E40" s="194"/>
      <c r="F40" s="194"/>
      <c r="G40" s="212"/>
      <c r="H40" s="281">
        <f>H38*H39</f>
        <v>0</v>
      </c>
      <c r="I40" s="308">
        <f t="shared" ref="I40:P40" si="8">I38*I39</f>
        <v>0</v>
      </c>
      <c r="J40" s="309">
        <f t="shared" si="8"/>
        <v>0</v>
      </c>
      <c r="K40" s="308">
        <f t="shared" si="8"/>
        <v>0</v>
      </c>
      <c r="L40" s="308">
        <f t="shared" si="8"/>
        <v>0</v>
      </c>
      <c r="M40" s="309">
        <f t="shared" si="8"/>
        <v>0</v>
      </c>
      <c r="N40" s="308">
        <f t="shared" si="8"/>
        <v>0</v>
      </c>
      <c r="O40" s="308">
        <f t="shared" si="8"/>
        <v>0</v>
      </c>
      <c r="P40" s="310">
        <f t="shared" si="8"/>
        <v>0</v>
      </c>
      <c r="Q40" s="193"/>
      <c r="R40" s="193"/>
      <c r="S40" s="193"/>
      <c r="T40" s="193"/>
      <c r="U40" s="193"/>
      <c r="V40" s="396"/>
      <c r="W40" s="198"/>
    </row>
    <row r="41" spans="1:23">
      <c r="A41" s="218"/>
      <c r="B41" s="193"/>
      <c r="C41" s="195"/>
      <c r="D41" s="193"/>
      <c r="E41" s="193"/>
      <c r="F41" s="193"/>
      <c r="G41" s="193"/>
      <c r="H41" s="193"/>
      <c r="I41" s="193"/>
      <c r="J41" s="193"/>
      <c r="K41" s="193"/>
      <c r="L41" s="193"/>
      <c r="M41" s="193"/>
      <c r="N41" s="193"/>
      <c r="O41" s="193"/>
      <c r="P41" s="193"/>
      <c r="Q41" s="193"/>
      <c r="R41" s="193"/>
      <c r="S41" s="193"/>
      <c r="T41" s="193"/>
      <c r="U41" s="193"/>
      <c r="V41" s="396"/>
      <c r="W41" s="198"/>
    </row>
    <row r="42" spans="1:23" ht="14.4" thickBot="1">
      <c r="A42" s="218"/>
      <c r="B42" s="193"/>
      <c r="C42" s="194"/>
      <c r="D42" s="194"/>
      <c r="E42" s="194"/>
      <c r="F42" s="194"/>
      <c r="G42" s="194"/>
      <c r="H42" s="194"/>
      <c r="I42" s="194"/>
      <c r="J42" s="194"/>
      <c r="K42" s="193"/>
      <c r="L42" s="193"/>
      <c r="M42" s="193"/>
      <c r="N42" s="193"/>
      <c r="O42" s="193"/>
      <c r="P42" s="193"/>
      <c r="Q42" s="193"/>
      <c r="R42" s="193"/>
      <c r="S42" s="193"/>
      <c r="T42" s="193"/>
      <c r="U42" s="193"/>
      <c r="V42" s="397"/>
      <c r="W42" s="198"/>
    </row>
    <row r="43" spans="1:23">
      <c r="A43" s="630"/>
      <c r="B43" s="631"/>
      <c r="C43" s="222" t="s">
        <v>132</v>
      </c>
      <c r="D43" s="220"/>
      <c r="E43" s="220"/>
      <c r="F43" s="220"/>
      <c r="G43" s="220"/>
      <c r="H43" s="232"/>
      <c r="I43" s="233"/>
      <c r="J43" s="233"/>
      <c r="K43" s="235"/>
      <c r="L43" s="236"/>
      <c r="M43" s="236"/>
      <c r="N43" s="324"/>
      <c r="O43" s="324"/>
      <c r="P43" s="324"/>
      <c r="Q43" s="193"/>
      <c r="R43" s="193"/>
      <c r="S43" s="193"/>
      <c r="T43" s="193"/>
      <c r="U43" s="193"/>
      <c r="V43" s="285"/>
      <c r="W43" s="198"/>
    </row>
    <row r="44" spans="1:23" ht="14.4" thickBot="1">
      <c r="A44" s="625"/>
      <c r="B44" s="626"/>
      <c r="C44" s="230" t="s">
        <v>133</v>
      </c>
      <c r="D44" s="231"/>
      <c r="E44" s="231"/>
      <c r="F44" s="231"/>
      <c r="G44" s="266"/>
      <c r="H44" s="232"/>
      <c r="I44" s="233"/>
      <c r="J44" s="233"/>
      <c r="K44" s="323"/>
      <c r="L44" s="324"/>
      <c r="M44" s="324"/>
      <c r="N44" s="236"/>
      <c r="O44" s="236"/>
      <c r="P44" s="236"/>
      <c r="Q44" s="193"/>
      <c r="R44" s="193"/>
      <c r="S44" s="194" t="s">
        <v>158</v>
      </c>
      <c r="T44" s="193"/>
      <c r="U44" s="193"/>
      <c r="V44" s="285"/>
      <c r="W44" s="198"/>
    </row>
    <row r="45" spans="1:23">
      <c r="A45" s="625"/>
      <c r="B45" s="626"/>
      <c r="C45" s="193" t="s">
        <v>36</v>
      </c>
      <c r="D45" s="193" t="s">
        <v>28</v>
      </c>
      <c r="E45" s="193" t="s">
        <v>29</v>
      </c>
      <c r="F45" s="193" t="s">
        <v>30</v>
      </c>
      <c r="G45" s="193" t="s">
        <v>31</v>
      </c>
      <c r="H45" s="470"/>
      <c r="I45" s="471"/>
      <c r="J45" s="472"/>
      <c r="K45" s="283"/>
      <c r="L45" s="284"/>
      <c r="M45" s="284"/>
      <c r="N45" s="326"/>
      <c r="O45" s="326"/>
      <c r="P45" s="326"/>
      <c r="Q45" s="193"/>
      <c r="R45" s="198"/>
      <c r="S45" s="195" t="s">
        <v>28</v>
      </c>
      <c r="T45" s="195" t="s">
        <v>29</v>
      </c>
      <c r="U45" s="238" t="s">
        <v>33</v>
      </c>
      <c r="V45" s="345"/>
      <c r="W45" s="198"/>
    </row>
    <row r="46" spans="1:23" ht="14.4" thickBot="1">
      <c r="A46" s="625"/>
      <c r="B46" s="626"/>
      <c r="C46" s="193" t="s">
        <v>36</v>
      </c>
      <c r="D46" s="193" t="s">
        <v>32</v>
      </c>
      <c r="E46" s="193" t="s">
        <v>30</v>
      </c>
      <c r="F46" s="193" t="s">
        <v>29</v>
      </c>
      <c r="G46" s="193" t="s">
        <v>31</v>
      </c>
      <c r="H46" s="330"/>
      <c r="I46" s="327"/>
      <c r="J46" s="483"/>
      <c r="K46" s="325"/>
      <c r="L46" s="326"/>
      <c r="M46" s="326"/>
      <c r="N46" s="193"/>
      <c r="O46" s="193"/>
      <c r="P46" s="193"/>
      <c r="Q46" s="193"/>
      <c r="R46" s="198"/>
      <c r="S46" s="194" t="s">
        <v>32</v>
      </c>
      <c r="T46" s="194" t="s">
        <v>33</v>
      </c>
      <c r="U46" s="212" t="s">
        <v>29</v>
      </c>
      <c r="V46" s="398"/>
      <c r="W46" s="198"/>
    </row>
    <row r="47" spans="1:23">
      <c r="A47" s="625"/>
      <c r="B47" s="626"/>
      <c r="C47" s="193" t="s">
        <v>36</v>
      </c>
      <c r="D47" s="193" t="s">
        <v>28</v>
      </c>
      <c r="E47" s="193" t="s">
        <v>29</v>
      </c>
      <c r="F47" s="193" t="s">
        <v>33</v>
      </c>
      <c r="G47" s="193" t="s">
        <v>31</v>
      </c>
      <c r="H47" s="467">
        <f>1-((1-H43)+H43*((1-$V45)^(H$5*(1-H12))))^H8</f>
        <v>0</v>
      </c>
      <c r="I47" s="468">
        <f>1-((1-I43)+I43*((1-$V45)^(I$5*(1-I12))))^I8</f>
        <v>0</v>
      </c>
      <c r="J47" s="469">
        <f>1-((1-J43)+J43*((1-$V45)^(J$5*(1-J12))))^J8</f>
        <v>0</v>
      </c>
      <c r="K47" s="240"/>
      <c r="L47" s="193"/>
      <c r="M47" s="193"/>
      <c r="N47" s="193"/>
      <c r="O47" s="193"/>
      <c r="P47" s="193"/>
      <c r="Q47" s="193"/>
      <c r="R47" s="193"/>
      <c r="S47" s="193"/>
      <c r="T47" s="193"/>
      <c r="U47" s="193"/>
      <c r="V47" s="282"/>
      <c r="W47" s="198"/>
    </row>
    <row r="48" spans="1:23" ht="14.4" thickBot="1">
      <c r="A48" s="625" t="s">
        <v>39</v>
      </c>
      <c r="B48" s="626"/>
      <c r="C48" s="241" t="s">
        <v>36</v>
      </c>
      <c r="D48" s="194" t="s">
        <v>32</v>
      </c>
      <c r="E48" s="194" t="s">
        <v>33</v>
      </c>
      <c r="F48" s="194" t="s">
        <v>29</v>
      </c>
      <c r="G48" s="212" t="s">
        <v>31</v>
      </c>
      <c r="H48" s="246">
        <f>1-((1-H43)+H43*((1-$V46)^(H$5*(1-H13))))^H9</f>
        <v>0</v>
      </c>
      <c r="I48" s="247">
        <f>1-((1-I43)+I43*((1-$V46)^(I$5*(1-I13))))^I9</f>
        <v>0</v>
      </c>
      <c r="J48" s="271">
        <f>1-((1-J43)+J43*((1-$V46)^(J$5*(1-J13))))^J9</f>
        <v>0</v>
      </c>
      <c r="K48" s="240"/>
      <c r="L48" s="193"/>
      <c r="M48" s="193"/>
      <c r="N48" s="193"/>
      <c r="O48" s="193"/>
      <c r="P48" s="193"/>
      <c r="Q48" s="193"/>
      <c r="R48" s="193"/>
      <c r="S48" s="193"/>
      <c r="T48" s="193"/>
      <c r="U48" s="193"/>
      <c r="V48" s="193"/>
      <c r="W48" s="198"/>
    </row>
    <row r="49" spans="1:23" ht="14.4" thickBot="1">
      <c r="A49" s="625"/>
      <c r="B49" s="626"/>
      <c r="C49" s="194" t="s">
        <v>37</v>
      </c>
      <c r="D49" s="194"/>
      <c r="E49" s="194"/>
      <c r="F49" s="194"/>
      <c r="G49" s="194"/>
      <c r="H49" s="246">
        <f t="shared" ref="H49:J49" si="9">SUM(H45:H48)</f>
        <v>0</v>
      </c>
      <c r="I49" s="247">
        <f t="shared" si="9"/>
        <v>0</v>
      </c>
      <c r="J49" s="247">
        <f t="shared" si="9"/>
        <v>0</v>
      </c>
      <c r="K49" s="330"/>
      <c r="L49" s="327"/>
      <c r="M49" s="327"/>
      <c r="N49" s="327"/>
      <c r="O49" s="327"/>
      <c r="P49" s="327"/>
      <c r="Q49" s="193"/>
      <c r="R49" s="193"/>
      <c r="S49" s="193"/>
      <c r="T49" s="193"/>
      <c r="U49" s="193"/>
      <c r="V49" s="193"/>
      <c r="W49" s="198"/>
    </row>
    <row r="50" spans="1:23">
      <c r="A50" s="625"/>
      <c r="B50" s="626"/>
      <c r="C50" s="195" t="s">
        <v>135</v>
      </c>
      <c r="D50" s="195"/>
      <c r="E50" s="195"/>
      <c r="F50" s="195"/>
      <c r="G50" s="238"/>
      <c r="H50" s="303"/>
      <c r="I50" s="304"/>
      <c r="J50" s="304"/>
      <c r="K50" s="323"/>
      <c r="L50" s="324"/>
      <c r="M50" s="324"/>
      <c r="N50" s="324"/>
      <c r="O50" s="324"/>
      <c r="P50" s="324"/>
      <c r="Q50" s="193"/>
      <c r="R50" s="193"/>
      <c r="S50" s="193"/>
      <c r="T50" s="193"/>
      <c r="U50" s="193"/>
      <c r="V50" s="193"/>
      <c r="W50" s="198"/>
    </row>
    <row r="51" spans="1:23">
      <c r="A51" s="625"/>
      <c r="B51" s="626"/>
      <c r="C51" s="193" t="s">
        <v>136</v>
      </c>
      <c r="D51" s="193"/>
      <c r="E51" s="193"/>
      <c r="F51" s="193"/>
      <c r="G51" s="221"/>
      <c r="H51" s="255">
        <f>H49*H$4*(1-H50)</f>
        <v>0</v>
      </c>
      <c r="I51" s="253">
        <f t="shared" ref="I51:J51" si="10">I49*I$4*(1-I50)</f>
        <v>0</v>
      </c>
      <c r="J51" s="253">
        <f t="shared" si="10"/>
        <v>0</v>
      </c>
      <c r="K51" s="331"/>
      <c r="L51" s="328"/>
      <c r="M51" s="328"/>
      <c r="N51" s="328"/>
      <c r="O51" s="328"/>
      <c r="P51" s="328"/>
      <c r="Q51" s="193"/>
      <c r="R51" s="193"/>
      <c r="S51" s="193"/>
      <c r="T51" s="193"/>
      <c r="U51" s="193"/>
      <c r="V51" s="193"/>
      <c r="W51" s="198"/>
    </row>
    <row r="52" spans="1:23">
      <c r="A52" s="625"/>
      <c r="B52" s="626"/>
      <c r="C52" s="193" t="s">
        <v>38</v>
      </c>
      <c r="D52" s="193"/>
      <c r="E52" s="193"/>
      <c r="F52" s="193"/>
      <c r="G52" s="221"/>
      <c r="H52" s="442"/>
      <c r="I52" s="439"/>
      <c r="J52" s="439"/>
      <c r="K52" s="332"/>
      <c r="L52" s="329"/>
      <c r="M52" s="329"/>
      <c r="N52" s="329"/>
      <c r="O52" s="329"/>
      <c r="P52" s="329"/>
      <c r="Q52" s="193"/>
      <c r="R52" s="193"/>
      <c r="S52" s="193"/>
      <c r="T52" s="193"/>
      <c r="U52" s="193"/>
      <c r="V52" s="193"/>
      <c r="W52" s="198"/>
    </row>
    <row r="53" spans="1:23" ht="14.4" thickBot="1">
      <c r="A53" s="627"/>
      <c r="B53" s="628"/>
      <c r="C53" s="194" t="s">
        <v>137</v>
      </c>
      <c r="D53" s="194"/>
      <c r="E53" s="194"/>
      <c r="F53" s="194"/>
      <c r="G53" s="212"/>
      <c r="H53" s="257">
        <f>H51*H52</f>
        <v>0</v>
      </c>
      <c r="I53" s="258">
        <f>I51*I52</f>
        <v>0</v>
      </c>
      <c r="J53" s="258">
        <f t="shared" ref="J53" si="11">J51*J52</f>
        <v>0</v>
      </c>
      <c r="K53" s="331"/>
      <c r="L53" s="328"/>
      <c r="M53" s="328"/>
      <c r="N53" s="328"/>
      <c r="O53" s="328"/>
      <c r="P53" s="328"/>
      <c r="Q53" s="193"/>
      <c r="R53" s="193"/>
      <c r="S53" s="193"/>
      <c r="T53" s="193"/>
      <c r="U53" s="193"/>
      <c r="V53" s="193"/>
      <c r="W53" s="198"/>
    </row>
    <row r="54" spans="1:23">
      <c r="A54" s="218"/>
      <c r="B54" s="193"/>
      <c r="C54" s="193"/>
      <c r="D54" s="193"/>
      <c r="E54" s="193"/>
      <c r="F54" s="193"/>
      <c r="G54" s="193"/>
      <c r="H54" s="193"/>
      <c r="I54" s="193"/>
      <c r="J54" s="193"/>
      <c r="K54" s="193"/>
      <c r="L54" s="193"/>
      <c r="M54" s="193"/>
      <c r="N54" s="193"/>
      <c r="O54" s="193"/>
      <c r="P54" s="193"/>
      <c r="Q54" s="193"/>
      <c r="R54" s="193"/>
      <c r="S54" s="193"/>
      <c r="T54" s="193"/>
      <c r="U54" s="193"/>
      <c r="V54" s="193"/>
      <c r="W54" s="198"/>
    </row>
    <row r="55" spans="1:23">
      <c r="A55" s="218"/>
      <c r="B55" s="193"/>
      <c r="C55" s="193"/>
      <c r="D55" s="193"/>
      <c r="E55" s="193"/>
      <c r="F55" s="193"/>
      <c r="G55" s="193"/>
      <c r="H55" s="193"/>
      <c r="I55" s="193"/>
      <c r="J55" s="193"/>
      <c r="K55" s="193"/>
      <c r="L55" s="193"/>
      <c r="M55" s="193"/>
      <c r="N55" s="193"/>
      <c r="O55" s="193"/>
      <c r="P55" s="193"/>
      <c r="Q55" s="193"/>
      <c r="R55" s="193"/>
      <c r="S55" s="193"/>
      <c r="T55" s="193"/>
      <c r="U55" s="193"/>
      <c r="V55" s="193"/>
      <c r="W55" s="198"/>
    </row>
    <row r="56" spans="1:23" ht="14.4" thickBot="1">
      <c r="A56" s="239"/>
      <c r="B56" s="194"/>
      <c r="C56" s="194"/>
      <c r="D56" s="194"/>
      <c r="E56" s="194"/>
      <c r="F56" s="194"/>
      <c r="G56" s="194"/>
      <c r="H56" s="194"/>
      <c r="I56" s="194"/>
      <c r="J56" s="194"/>
      <c r="K56" s="194"/>
      <c r="L56" s="194"/>
      <c r="M56" s="194"/>
      <c r="N56" s="194"/>
      <c r="O56" s="194"/>
      <c r="P56" s="194"/>
      <c r="Q56" s="194"/>
      <c r="R56" s="194"/>
      <c r="S56" s="194"/>
      <c r="T56" s="194"/>
      <c r="U56" s="194"/>
      <c r="V56" s="194"/>
      <c r="W56" s="242"/>
    </row>
  </sheetData>
  <pageMargins left="0.7" right="0.7" top="0.75" bottom="0.75" header="0.3" footer="0.3"/>
  <drawing r:id="rId1"/>
  <legacyDrawing r:id="rId2"/>
  <controls>
    <mc:AlternateContent xmlns:mc="http://schemas.openxmlformats.org/markup-compatibility/2006">
      <mc:Choice Requires="x14">
        <control shapeId="33793" r:id="rId3" name="CommandButton1">
          <controlPr defaultSize="0" autoLine="0" altText="Back" r:id="rId4">
            <anchor moveWithCells="1">
              <from>
                <xdr:col>0</xdr:col>
                <xdr:colOff>60960</xdr:colOff>
                <xdr:row>0</xdr:row>
                <xdr:rowOff>60960</xdr:rowOff>
              </from>
              <to>
                <xdr:col>0</xdr:col>
                <xdr:colOff>601980</xdr:colOff>
                <xdr:row>2</xdr:row>
                <xdr:rowOff>137160</xdr:rowOff>
              </to>
            </anchor>
          </controlPr>
        </control>
      </mc:Choice>
      <mc:Fallback>
        <control shapeId="33793" r:id="rId3" name="CommandButton1"/>
      </mc:Fallback>
    </mc:AlternateContent>
  </control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pageSetUpPr autoPageBreaks="0"/>
  </sheetPr>
  <dimension ref="A1:W56"/>
  <sheetViews>
    <sheetView zoomScale="80" zoomScaleNormal="80" workbookViewId="0"/>
  </sheetViews>
  <sheetFormatPr defaultColWidth="9.109375" defaultRowHeight="13.8"/>
  <cols>
    <col min="1" max="2" width="9.109375" style="197"/>
    <col min="3" max="3" width="23.6640625" style="197" customWidth="1"/>
    <col min="4" max="4" width="10.44140625" style="197" customWidth="1"/>
    <col min="5" max="6" width="9.109375" style="197"/>
    <col min="7" max="7" width="19.6640625" style="197" customWidth="1"/>
    <col min="8" max="16" width="14.6640625" style="197" customWidth="1"/>
    <col min="17" max="17" width="2" style="197" customWidth="1"/>
    <col min="18" max="18" width="9.109375" style="197"/>
    <col min="19" max="19" width="10.88671875" style="197" customWidth="1"/>
    <col min="20" max="16384" width="9.109375" style="197"/>
  </cols>
  <sheetData>
    <row r="1" spans="1:23" ht="15" customHeight="1">
      <c r="A1" s="592"/>
      <c r="B1" s="633"/>
      <c r="C1" s="593"/>
      <c r="D1" s="593"/>
      <c r="E1" s="593"/>
      <c r="F1" s="593"/>
      <c r="G1" s="613"/>
      <c r="H1" s="590"/>
      <c r="I1" s="596" t="s">
        <v>73</v>
      </c>
      <c r="J1" s="598"/>
      <c r="K1" s="590"/>
      <c r="L1" s="590" t="s">
        <v>74</v>
      </c>
      <c r="M1" s="598"/>
      <c r="N1" s="590"/>
      <c r="O1" s="590" t="s">
        <v>75</v>
      </c>
      <c r="P1" s="590"/>
      <c r="Q1" s="195"/>
      <c r="R1" s="195"/>
      <c r="S1" s="195"/>
      <c r="T1" s="195"/>
      <c r="U1" s="195"/>
      <c r="V1" s="195"/>
      <c r="W1" s="196"/>
    </row>
    <row r="2" spans="1:23" ht="15" customHeight="1">
      <c r="A2" s="634"/>
      <c r="B2" s="632"/>
      <c r="C2" s="632" t="s">
        <v>53</v>
      </c>
      <c r="D2" s="408"/>
      <c r="E2" s="408"/>
      <c r="F2" s="408"/>
      <c r="G2" s="614"/>
      <c r="H2" s="591"/>
      <c r="I2" s="597"/>
      <c r="J2" s="599"/>
      <c r="K2" s="591"/>
      <c r="L2" s="591"/>
      <c r="M2" s="599"/>
      <c r="N2" s="591"/>
      <c r="O2" s="591"/>
      <c r="P2" s="591"/>
      <c r="Q2" s="193"/>
      <c r="R2" s="193"/>
      <c r="S2" s="193"/>
      <c r="T2" s="193"/>
      <c r="U2" s="193"/>
      <c r="V2" s="193"/>
      <c r="W2" s="198"/>
    </row>
    <row r="3" spans="1:23" ht="15.75" customHeight="1" thickBot="1">
      <c r="A3" s="635"/>
      <c r="B3" s="636"/>
      <c r="C3" s="219"/>
      <c r="D3" s="219"/>
      <c r="E3" s="219"/>
      <c r="F3" s="219"/>
      <c r="G3" s="615"/>
      <c r="H3" s="113" t="s">
        <v>4</v>
      </c>
      <c r="I3" s="113" t="s">
        <v>5</v>
      </c>
      <c r="J3" s="600">
        <v>18</v>
      </c>
      <c r="K3" s="113" t="s">
        <v>4</v>
      </c>
      <c r="L3" s="113" t="s">
        <v>5</v>
      </c>
      <c r="M3" s="600">
        <v>18</v>
      </c>
      <c r="N3" s="113" t="s">
        <v>4</v>
      </c>
      <c r="O3" s="113" t="s">
        <v>5</v>
      </c>
      <c r="P3" s="113">
        <v>18</v>
      </c>
      <c r="Q3" s="193"/>
      <c r="R3" s="199"/>
      <c r="S3" s="200"/>
      <c r="T3" s="193"/>
      <c r="U3" s="193"/>
      <c r="V3" s="193"/>
      <c r="W3" s="198"/>
    </row>
    <row r="4" spans="1:23" ht="14.4" thickBot="1">
      <c r="A4" s="640" t="s">
        <v>44</v>
      </c>
      <c r="B4" s="641"/>
      <c r="C4" s="193"/>
      <c r="D4" s="193"/>
      <c r="E4" s="193"/>
      <c r="F4" s="193"/>
      <c r="G4" s="611"/>
      <c r="H4" s="347"/>
      <c r="I4" s="347"/>
      <c r="J4" s="601"/>
      <c r="K4" s="347"/>
      <c r="L4" s="347"/>
      <c r="M4" s="450"/>
      <c r="N4" s="347"/>
      <c r="O4" s="347"/>
      <c r="P4" s="348"/>
      <c r="Q4" s="193"/>
      <c r="R4" s="287"/>
      <c r="S4" s="201"/>
      <c r="T4" s="456" t="s">
        <v>41</v>
      </c>
      <c r="U4" s="456"/>
      <c r="V4" s="457"/>
      <c r="W4" s="198"/>
    </row>
    <row r="5" spans="1:23" ht="15" customHeight="1" thickBot="1">
      <c r="A5" s="621"/>
      <c r="B5" s="616"/>
      <c r="C5" s="452" t="s">
        <v>164</v>
      </c>
      <c r="D5" s="453"/>
      <c r="E5" s="453"/>
      <c r="F5" s="453"/>
      <c r="G5" s="612"/>
      <c r="H5" s="454"/>
      <c r="I5" s="454"/>
      <c r="J5" s="602"/>
      <c r="K5" s="454"/>
      <c r="L5" s="454"/>
      <c r="M5" s="602"/>
      <c r="N5" s="454"/>
      <c r="O5" s="454"/>
      <c r="P5" s="455"/>
      <c r="Q5" s="193"/>
      <c r="R5" s="287"/>
      <c r="S5" s="205"/>
      <c r="T5" s="458" t="s">
        <v>40</v>
      </c>
      <c r="U5" s="458"/>
      <c r="V5" s="459"/>
      <c r="W5" s="198"/>
    </row>
    <row r="6" spans="1:23" ht="14.4" thickBot="1">
      <c r="A6" s="624"/>
      <c r="B6" s="618"/>
      <c r="C6" s="218" t="s">
        <v>165</v>
      </c>
      <c r="D6" s="193" t="s">
        <v>28</v>
      </c>
      <c r="E6" s="193" t="s">
        <v>29</v>
      </c>
      <c r="F6" s="193" t="s">
        <v>30</v>
      </c>
      <c r="G6" s="221" t="s">
        <v>163</v>
      </c>
      <c r="H6" s="202"/>
      <c r="I6" s="202"/>
      <c r="J6" s="603"/>
      <c r="K6" s="216"/>
      <c r="L6" s="216"/>
      <c r="M6" s="606"/>
      <c r="N6" s="203"/>
      <c r="O6" s="203"/>
      <c r="P6" s="204"/>
      <c r="Q6" s="193"/>
      <c r="R6" s="287"/>
      <c r="S6" s="209"/>
      <c r="T6" s="210" t="s">
        <v>134</v>
      </c>
      <c r="U6" s="210"/>
      <c r="V6" s="211"/>
      <c r="W6" s="198"/>
    </row>
    <row r="7" spans="1:23">
      <c r="A7" s="622" t="s">
        <v>241</v>
      </c>
      <c r="B7" s="618"/>
      <c r="C7" s="218" t="s">
        <v>165</v>
      </c>
      <c r="D7" s="193" t="s">
        <v>32</v>
      </c>
      <c r="E7" s="193" t="s">
        <v>30</v>
      </c>
      <c r="F7" s="193" t="s">
        <v>29</v>
      </c>
      <c r="G7" s="221" t="s">
        <v>163</v>
      </c>
      <c r="H7" s="206"/>
      <c r="I7" s="206"/>
      <c r="J7" s="604"/>
      <c r="K7" s="206"/>
      <c r="L7" s="206"/>
      <c r="M7" s="604"/>
      <c r="N7" s="207"/>
      <c r="O7" s="207"/>
      <c r="P7" s="208"/>
      <c r="Q7" s="193"/>
      <c r="R7" s="193"/>
      <c r="S7" s="193"/>
      <c r="T7" s="193"/>
      <c r="U7" s="193"/>
      <c r="V7" s="193"/>
      <c r="W7" s="198"/>
    </row>
    <row r="8" spans="1:23">
      <c r="A8" s="622" t="s">
        <v>242</v>
      </c>
      <c r="B8" s="618"/>
      <c r="C8" s="218" t="s">
        <v>165</v>
      </c>
      <c r="D8" s="193" t="s">
        <v>28</v>
      </c>
      <c r="E8" s="193" t="s">
        <v>29</v>
      </c>
      <c r="F8" s="193" t="s">
        <v>33</v>
      </c>
      <c r="G8" s="221" t="s">
        <v>163</v>
      </c>
      <c r="H8" s="206"/>
      <c r="I8" s="206"/>
      <c r="J8" s="604"/>
      <c r="K8" s="207"/>
      <c r="L8" s="207"/>
      <c r="M8" s="609"/>
      <c r="N8" s="207"/>
      <c r="O8" s="207"/>
      <c r="P8" s="208"/>
      <c r="Q8" s="193"/>
      <c r="R8" s="193"/>
      <c r="S8" s="193"/>
      <c r="T8" s="193"/>
      <c r="U8" s="193"/>
      <c r="V8" s="193"/>
      <c r="W8" s="198"/>
    </row>
    <row r="9" spans="1:23" ht="14.4" thickBot="1">
      <c r="A9" s="623"/>
      <c r="B9" s="618"/>
      <c r="C9" s="239" t="s">
        <v>165</v>
      </c>
      <c r="D9" s="194" t="s">
        <v>32</v>
      </c>
      <c r="E9" s="194" t="s">
        <v>33</v>
      </c>
      <c r="F9" s="194" t="s">
        <v>29</v>
      </c>
      <c r="G9" s="221" t="s">
        <v>163</v>
      </c>
      <c r="H9" s="213"/>
      <c r="I9" s="213"/>
      <c r="J9" s="605"/>
      <c r="K9" s="214"/>
      <c r="L9" s="214"/>
      <c r="M9" s="610"/>
      <c r="N9" s="214"/>
      <c r="O9" s="214"/>
      <c r="P9" s="215"/>
      <c r="Q9" s="193"/>
      <c r="R9" s="193"/>
      <c r="S9" s="193"/>
      <c r="T9" s="193"/>
      <c r="U9" s="193"/>
      <c r="V9" s="193"/>
      <c r="W9" s="198"/>
    </row>
    <row r="10" spans="1:23">
      <c r="A10" s="622" t="s">
        <v>243</v>
      </c>
      <c r="B10" s="618"/>
      <c r="C10" s="451" t="s">
        <v>34</v>
      </c>
      <c r="D10" s="193" t="s">
        <v>28</v>
      </c>
      <c r="E10" s="193" t="s">
        <v>29</v>
      </c>
      <c r="F10" s="193" t="s">
        <v>30</v>
      </c>
      <c r="G10" s="238" t="s">
        <v>35</v>
      </c>
      <c r="H10" s="216"/>
      <c r="I10" s="216"/>
      <c r="J10" s="606"/>
      <c r="K10" s="202"/>
      <c r="L10" s="202"/>
      <c r="M10" s="603"/>
      <c r="N10" s="447"/>
      <c r="O10" s="447"/>
      <c r="P10" s="449"/>
      <c r="Q10" s="193"/>
      <c r="R10" s="193"/>
      <c r="S10" s="193"/>
      <c r="T10" s="193"/>
      <c r="U10" s="193"/>
      <c r="V10" s="193"/>
      <c r="W10" s="198"/>
    </row>
    <row r="11" spans="1:23">
      <c r="A11" s="623" t="s">
        <v>244</v>
      </c>
      <c r="B11" s="618"/>
      <c r="C11" s="218" t="s">
        <v>34</v>
      </c>
      <c r="D11" s="193" t="s">
        <v>32</v>
      </c>
      <c r="E11" s="193" t="s">
        <v>30</v>
      </c>
      <c r="F11" s="193" t="s">
        <v>29</v>
      </c>
      <c r="G11" s="221" t="s">
        <v>35</v>
      </c>
      <c r="H11" s="447"/>
      <c r="I11" s="447"/>
      <c r="J11" s="607"/>
      <c r="K11" s="447"/>
      <c r="L11" s="447"/>
      <c r="M11" s="607"/>
      <c r="N11" s="216"/>
      <c r="O11" s="216"/>
      <c r="P11" s="217"/>
      <c r="Q11" s="193"/>
      <c r="R11" s="193"/>
      <c r="S11" s="193"/>
      <c r="T11" s="193"/>
      <c r="U11" s="193"/>
      <c r="V11" s="193"/>
      <c r="W11" s="198"/>
    </row>
    <row r="12" spans="1:23">
      <c r="A12" s="617"/>
      <c r="B12" s="618"/>
      <c r="C12" s="218" t="s">
        <v>34</v>
      </c>
      <c r="D12" s="193" t="s">
        <v>28</v>
      </c>
      <c r="E12" s="193" t="s">
        <v>29</v>
      </c>
      <c r="F12" s="193" t="s">
        <v>33</v>
      </c>
      <c r="G12" s="221" t="s">
        <v>35</v>
      </c>
      <c r="H12" s="447"/>
      <c r="I12" s="447"/>
      <c r="J12" s="607"/>
      <c r="K12" s="216"/>
      <c r="L12" s="216"/>
      <c r="M12" s="606"/>
      <c r="N12" s="216"/>
      <c r="O12" s="216"/>
      <c r="P12" s="217"/>
      <c r="Q12" s="193"/>
      <c r="R12" s="193"/>
      <c r="S12" s="193"/>
      <c r="T12" s="193"/>
      <c r="U12" s="193"/>
      <c r="V12" s="193"/>
      <c r="W12" s="198"/>
    </row>
    <row r="13" spans="1:23" ht="14.4" thickBot="1">
      <c r="A13" s="619"/>
      <c r="B13" s="620"/>
      <c r="C13" s="239" t="s">
        <v>34</v>
      </c>
      <c r="D13" s="194" t="s">
        <v>32</v>
      </c>
      <c r="E13" s="194" t="s">
        <v>33</v>
      </c>
      <c r="F13" s="194" t="s">
        <v>29</v>
      </c>
      <c r="G13" s="212" t="s">
        <v>35</v>
      </c>
      <c r="H13" s="448"/>
      <c r="I13" s="448"/>
      <c r="J13" s="608"/>
      <c r="K13" s="214"/>
      <c r="L13" s="214"/>
      <c r="M13" s="610"/>
      <c r="N13" s="214"/>
      <c r="O13" s="214"/>
      <c r="P13" s="215"/>
      <c r="Q13" s="193"/>
      <c r="R13" s="193"/>
      <c r="S13" s="193"/>
      <c r="T13" s="193"/>
      <c r="U13" s="193"/>
      <c r="V13" s="193"/>
      <c r="W13" s="198"/>
    </row>
    <row r="14" spans="1:23">
      <c r="A14" s="218"/>
      <c r="B14" s="193"/>
      <c r="C14" s="193"/>
      <c r="D14" s="193"/>
      <c r="E14" s="193"/>
      <c r="F14" s="193"/>
      <c r="G14" s="193"/>
      <c r="H14" s="193"/>
      <c r="I14" s="193"/>
      <c r="J14" s="193"/>
      <c r="K14" s="193"/>
      <c r="L14" s="193"/>
      <c r="M14" s="193"/>
      <c r="N14" s="193"/>
      <c r="O14" s="193"/>
      <c r="P14" s="193"/>
      <c r="Q14" s="193"/>
      <c r="R14" s="193"/>
      <c r="S14" s="287"/>
      <c r="T14" s="287"/>
      <c r="U14" s="287"/>
      <c r="V14" s="287"/>
      <c r="W14" s="198"/>
    </row>
    <row r="15" spans="1:23" ht="14.4" thickBot="1">
      <c r="A15" s="194"/>
      <c r="B15" s="219"/>
      <c r="C15" s="220"/>
      <c r="D15" s="220"/>
      <c r="E15" s="220"/>
      <c r="F15" s="220"/>
      <c r="G15" s="220"/>
      <c r="H15" s="193"/>
      <c r="I15" s="193"/>
      <c r="J15" s="193"/>
      <c r="K15" s="193"/>
      <c r="L15" s="193"/>
      <c r="M15" s="193"/>
      <c r="N15" s="193"/>
      <c r="O15" s="193"/>
      <c r="P15" s="193"/>
      <c r="Q15" s="193"/>
      <c r="R15" s="193"/>
      <c r="S15" s="460" t="s">
        <v>158</v>
      </c>
      <c r="T15" s="460"/>
      <c r="U15" s="460"/>
      <c r="V15" s="460"/>
      <c r="W15" s="198"/>
    </row>
    <row r="16" spans="1:23">
      <c r="A16" s="625"/>
      <c r="B16" s="626"/>
      <c r="C16" s="222" t="s">
        <v>132</v>
      </c>
      <c r="D16" s="223"/>
      <c r="E16" s="223"/>
      <c r="F16" s="223"/>
      <c r="G16" s="223"/>
      <c r="H16" s="224"/>
      <c r="I16" s="225"/>
      <c r="J16" s="226"/>
      <c r="K16" s="227"/>
      <c r="L16" s="228"/>
      <c r="M16" s="228"/>
      <c r="N16" s="224"/>
      <c r="O16" s="225"/>
      <c r="P16" s="229"/>
      <c r="Q16" s="193"/>
      <c r="R16" s="198"/>
      <c r="S16" s="193" t="s">
        <v>28</v>
      </c>
      <c r="T16" s="193" t="s">
        <v>29</v>
      </c>
      <c r="U16" s="221" t="s">
        <v>30</v>
      </c>
      <c r="V16" s="394"/>
      <c r="W16" s="198"/>
    </row>
    <row r="17" spans="1:23" ht="14.4" thickBot="1">
      <c r="A17" s="625"/>
      <c r="B17" s="626"/>
      <c r="C17" s="230" t="s">
        <v>133</v>
      </c>
      <c r="D17" s="231"/>
      <c r="E17" s="231"/>
      <c r="F17" s="231"/>
      <c r="G17" s="231"/>
      <c r="H17" s="232"/>
      <c r="I17" s="233"/>
      <c r="J17" s="234"/>
      <c r="K17" s="232"/>
      <c r="L17" s="233"/>
      <c r="M17" s="234"/>
      <c r="N17" s="235"/>
      <c r="O17" s="236"/>
      <c r="P17" s="237"/>
      <c r="Q17" s="193"/>
      <c r="R17" s="198"/>
      <c r="S17" s="193" t="s">
        <v>32</v>
      </c>
      <c r="T17" s="193" t="s">
        <v>30</v>
      </c>
      <c r="U17" s="221" t="s">
        <v>29</v>
      </c>
      <c r="V17" s="394"/>
      <c r="W17" s="198"/>
    </row>
    <row r="18" spans="1:23">
      <c r="A18" s="625"/>
      <c r="B18" s="626"/>
      <c r="C18" s="193" t="s">
        <v>36</v>
      </c>
      <c r="D18" s="193" t="s">
        <v>28</v>
      </c>
      <c r="E18" s="193" t="s">
        <v>29</v>
      </c>
      <c r="F18" s="193" t="s">
        <v>30</v>
      </c>
      <c r="G18" s="193" t="s">
        <v>31</v>
      </c>
      <c r="H18" s="480"/>
      <c r="I18" s="481"/>
      <c r="J18" s="482"/>
      <c r="K18" s="481"/>
      <c r="L18" s="481"/>
      <c r="M18" s="482"/>
      <c r="N18" s="473">
        <f>1-(1-N16*$V16)^((N$5*N6)*(1-N10))</f>
        <v>0</v>
      </c>
      <c r="O18" s="474">
        <f>1-(1-O16*$V16)^((O$5*O6)*(1-O10))</f>
        <v>0</v>
      </c>
      <c r="P18" s="475">
        <f>1-(1-P16*$V16)^((P$5*P6)*(1-P10))</f>
        <v>0</v>
      </c>
      <c r="Q18" s="193"/>
      <c r="R18" s="198"/>
      <c r="S18" s="193" t="s">
        <v>28</v>
      </c>
      <c r="T18" s="193" t="s">
        <v>29</v>
      </c>
      <c r="U18" s="221" t="s">
        <v>33</v>
      </c>
      <c r="V18" s="394"/>
      <c r="W18" s="198"/>
    </row>
    <row r="19" spans="1:23" ht="14.4" thickBot="1">
      <c r="A19" s="625"/>
      <c r="B19" s="626"/>
      <c r="C19" s="193" t="s">
        <v>36</v>
      </c>
      <c r="D19" s="193" t="s">
        <v>32</v>
      </c>
      <c r="E19" s="193" t="s">
        <v>30</v>
      </c>
      <c r="F19" s="193" t="s">
        <v>29</v>
      </c>
      <c r="G19" s="193" t="s">
        <v>31</v>
      </c>
      <c r="H19" s="467">
        <f t="shared" ref="H19:M19" si="0">1-(1-H17*$V17)^((H$5*H7)*(1-H11))</f>
        <v>0</v>
      </c>
      <c r="I19" s="468">
        <f t="shared" si="0"/>
        <v>0</v>
      </c>
      <c r="J19" s="469">
        <f t="shared" si="0"/>
        <v>0</v>
      </c>
      <c r="K19" s="468">
        <f t="shared" si="0"/>
        <v>0</v>
      </c>
      <c r="L19" s="468">
        <f t="shared" si="0"/>
        <v>0</v>
      </c>
      <c r="M19" s="469">
        <f t="shared" si="0"/>
        <v>0</v>
      </c>
      <c r="N19" s="330"/>
      <c r="O19" s="327"/>
      <c r="P19" s="476"/>
      <c r="Q19" s="193"/>
      <c r="R19" s="193"/>
      <c r="S19" s="239" t="s">
        <v>32</v>
      </c>
      <c r="T19" s="194" t="s">
        <v>33</v>
      </c>
      <c r="U19" s="212" t="s">
        <v>29</v>
      </c>
      <c r="V19" s="395"/>
      <c r="W19" s="198"/>
    </row>
    <row r="20" spans="1:23">
      <c r="A20" s="625"/>
      <c r="B20" s="626"/>
      <c r="C20" s="193" t="s">
        <v>36</v>
      </c>
      <c r="D20" s="193" t="s">
        <v>28</v>
      </c>
      <c r="E20" s="193" t="s">
        <v>29</v>
      </c>
      <c r="F20" s="193" t="s">
        <v>33</v>
      </c>
      <c r="G20" s="193" t="s">
        <v>31</v>
      </c>
      <c r="H20" s="467">
        <f>1-(1-H16*$V18)^((H$5*H8)*(1-H12))</f>
        <v>0</v>
      </c>
      <c r="I20" s="468">
        <f>1-(1-I16*$V18)^((I$5*I8)*(1-I12))</f>
        <v>0</v>
      </c>
      <c r="J20" s="469">
        <f>1-(1-J16*$V18)^((J$5*J8)*(1-J12))</f>
        <v>0</v>
      </c>
      <c r="K20" s="327"/>
      <c r="L20" s="327"/>
      <c r="M20" s="327"/>
      <c r="N20" s="330"/>
      <c r="O20" s="327"/>
      <c r="P20" s="476"/>
      <c r="Q20" s="193"/>
      <c r="R20" s="193"/>
      <c r="S20" s="193"/>
      <c r="T20" s="193"/>
      <c r="U20" s="193"/>
      <c r="V20" s="396"/>
      <c r="W20" s="198"/>
    </row>
    <row r="21" spans="1:23" ht="14.4" thickBot="1">
      <c r="A21" s="629" t="s">
        <v>42</v>
      </c>
      <c r="B21" s="626"/>
      <c r="C21" s="194" t="s">
        <v>36</v>
      </c>
      <c r="D21" s="194" t="s">
        <v>32</v>
      </c>
      <c r="E21" s="194" t="s">
        <v>33</v>
      </c>
      <c r="F21" s="194" t="s">
        <v>29</v>
      </c>
      <c r="G21" s="194" t="s">
        <v>31</v>
      </c>
      <c r="H21" s="246">
        <f>1-(1-H16*$V19)^((H$5*H9)*(1-H13))</f>
        <v>0</v>
      </c>
      <c r="I21" s="247">
        <f>1-(1-I16*$V19)^((I$5*I9)*(1-I13))</f>
        <v>0</v>
      </c>
      <c r="J21" s="271">
        <f>1-(1-J16*$V19)^((J$5*J9)*(1-J13))</f>
        <v>0</v>
      </c>
      <c r="K21" s="478"/>
      <c r="L21" s="478"/>
      <c r="M21" s="478"/>
      <c r="N21" s="477"/>
      <c r="O21" s="478"/>
      <c r="P21" s="479"/>
      <c r="Q21" s="193"/>
      <c r="R21" s="193"/>
      <c r="S21" s="193"/>
      <c r="T21" s="193"/>
      <c r="U21" s="193"/>
      <c r="V21" s="396"/>
      <c r="W21" s="198"/>
    </row>
    <row r="22" spans="1:23" ht="14.4" thickBot="1">
      <c r="A22" s="625"/>
      <c r="B22" s="626"/>
      <c r="C22" s="194" t="s">
        <v>37</v>
      </c>
      <c r="D22" s="194"/>
      <c r="E22" s="194"/>
      <c r="F22" s="194"/>
      <c r="G22" s="194"/>
      <c r="H22" s="243">
        <f t="shared" ref="H22:M22" si="1">SUM(H19:H21)</f>
        <v>0</v>
      </c>
      <c r="I22" s="244">
        <f t="shared" si="1"/>
        <v>0</v>
      </c>
      <c r="J22" s="245">
        <f>SUM(J19:J21)</f>
        <v>0</v>
      </c>
      <c r="K22" s="246">
        <f t="shared" si="1"/>
        <v>0</v>
      </c>
      <c r="L22" s="247">
        <f t="shared" si="1"/>
        <v>0</v>
      </c>
      <c r="M22" s="247">
        <f t="shared" si="1"/>
        <v>0</v>
      </c>
      <c r="N22" s="246">
        <f t="shared" ref="N22:P22" si="2">SUM(N18:N21)</f>
        <v>0</v>
      </c>
      <c r="O22" s="247">
        <f t="shared" si="2"/>
        <v>0</v>
      </c>
      <c r="P22" s="248">
        <f t="shared" si="2"/>
        <v>0</v>
      </c>
      <c r="Q22" s="193"/>
      <c r="R22" s="193"/>
      <c r="S22" s="193"/>
      <c r="T22" s="193"/>
      <c r="U22" s="193"/>
      <c r="V22" s="396"/>
      <c r="W22" s="198"/>
    </row>
    <row r="23" spans="1:23">
      <c r="A23" s="625"/>
      <c r="B23" s="626"/>
      <c r="C23" s="195" t="s">
        <v>135</v>
      </c>
      <c r="D23" s="195"/>
      <c r="E23" s="195"/>
      <c r="F23" s="195"/>
      <c r="G23" s="238"/>
      <c r="H23" s="249"/>
      <c r="I23" s="250"/>
      <c r="J23" s="251"/>
      <c r="K23" s="249"/>
      <c r="L23" s="250"/>
      <c r="M23" s="251"/>
      <c r="N23" s="249"/>
      <c r="O23" s="250"/>
      <c r="P23" s="252"/>
      <c r="Q23" s="193"/>
      <c r="R23" s="193"/>
      <c r="S23" s="193"/>
      <c r="T23" s="193"/>
      <c r="U23" s="193"/>
      <c r="V23" s="396"/>
      <c r="W23" s="198"/>
    </row>
    <row r="24" spans="1:23">
      <c r="A24" s="625"/>
      <c r="B24" s="626"/>
      <c r="C24" s="193" t="s">
        <v>136</v>
      </c>
      <c r="D24" s="193"/>
      <c r="E24" s="193"/>
      <c r="F24" s="193"/>
      <c r="G24" s="221"/>
      <c r="H24" s="253">
        <f>H22*H$4*(1-H23)</f>
        <v>0</v>
      </c>
      <c r="I24" s="253">
        <f>I22*I$4*(1-I23)</f>
        <v>0</v>
      </c>
      <c r="J24" s="254">
        <f>J22*J$4*(1-J23)</f>
        <v>0</v>
      </c>
      <c r="K24" s="255">
        <f>K22*K$4*(1-K23)</f>
        <v>0</v>
      </c>
      <c r="L24" s="253">
        <f t="shared" ref="L24:P24" si="3">L22*L$4*(1-L23)</f>
        <v>0</v>
      </c>
      <c r="M24" s="254">
        <f t="shared" si="3"/>
        <v>0</v>
      </c>
      <c r="N24" s="255">
        <f t="shared" si="3"/>
        <v>0</v>
      </c>
      <c r="O24" s="253">
        <f t="shared" si="3"/>
        <v>0</v>
      </c>
      <c r="P24" s="256">
        <f t="shared" si="3"/>
        <v>0</v>
      </c>
      <c r="Q24" s="193"/>
      <c r="R24" s="193"/>
      <c r="S24" s="193"/>
      <c r="T24" s="193"/>
      <c r="U24" s="193"/>
      <c r="V24" s="396"/>
      <c r="W24" s="198"/>
    </row>
    <row r="25" spans="1:23">
      <c r="A25" s="625"/>
      <c r="B25" s="626"/>
      <c r="C25" s="193" t="s">
        <v>38</v>
      </c>
      <c r="D25" s="193"/>
      <c r="E25" s="193"/>
      <c r="F25" s="193"/>
      <c r="G25" s="221"/>
      <c r="H25" s="443"/>
      <c r="I25" s="444"/>
      <c r="J25" s="445"/>
      <c r="K25" s="443"/>
      <c r="L25" s="444"/>
      <c r="M25" s="445"/>
      <c r="N25" s="443"/>
      <c r="O25" s="444"/>
      <c r="P25" s="446"/>
      <c r="Q25" s="193"/>
      <c r="R25" s="193"/>
      <c r="S25" s="193"/>
      <c r="T25" s="193"/>
      <c r="U25" s="193"/>
      <c r="V25" s="396"/>
      <c r="W25" s="198"/>
    </row>
    <row r="26" spans="1:23" ht="14.4" thickBot="1">
      <c r="A26" s="627"/>
      <c r="B26" s="628"/>
      <c r="C26" s="194" t="s">
        <v>137</v>
      </c>
      <c r="D26" s="194"/>
      <c r="E26" s="194"/>
      <c r="F26" s="194"/>
      <c r="G26" s="212"/>
      <c r="H26" s="257">
        <f>H24*H25</f>
        <v>0</v>
      </c>
      <c r="I26" s="258">
        <f t="shared" ref="I26:P26" si="4">I24*I25</f>
        <v>0</v>
      </c>
      <c r="J26" s="259">
        <f t="shared" si="4"/>
        <v>0</v>
      </c>
      <c r="K26" s="257">
        <f t="shared" si="4"/>
        <v>0</v>
      </c>
      <c r="L26" s="258">
        <f t="shared" si="4"/>
        <v>0</v>
      </c>
      <c r="M26" s="259">
        <f t="shared" si="4"/>
        <v>0</v>
      </c>
      <c r="N26" s="257">
        <f t="shared" si="4"/>
        <v>0</v>
      </c>
      <c r="O26" s="258">
        <f t="shared" si="4"/>
        <v>0</v>
      </c>
      <c r="P26" s="260">
        <f t="shared" si="4"/>
        <v>0</v>
      </c>
      <c r="Q26" s="193"/>
      <c r="R26" s="193"/>
      <c r="S26" s="193"/>
      <c r="T26" s="193"/>
      <c r="U26" s="193"/>
      <c r="V26" s="396"/>
      <c r="W26" s="198"/>
    </row>
    <row r="27" spans="1:23">
      <c r="A27" s="218"/>
      <c r="B27" s="193"/>
      <c r="C27" s="195"/>
      <c r="D27" s="193"/>
      <c r="E27" s="193"/>
      <c r="F27" s="193"/>
      <c r="G27" s="193"/>
      <c r="H27" s="193"/>
      <c r="I27" s="193"/>
      <c r="J27" s="193"/>
      <c r="K27" s="193"/>
      <c r="L27" s="193"/>
      <c r="M27" s="193"/>
      <c r="N27" s="193"/>
      <c r="O27" s="193"/>
      <c r="P27" s="193"/>
      <c r="Q27" s="193"/>
      <c r="R27" s="193"/>
      <c r="S27" s="193"/>
      <c r="T27" s="193"/>
      <c r="U27" s="193"/>
      <c r="V27" s="396"/>
      <c r="W27" s="198"/>
    </row>
    <row r="28" spans="1:23">
      <c r="A28" s="218"/>
      <c r="B28" s="193"/>
      <c r="C28" s="193"/>
      <c r="D28" s="193"/>
      <c r="E28" s="193"/>
      <c r="F28" s="193"/>
      <c r="G28" s="193"/>
      <c r="H28" s="193"/>
      <c r="I28" s="193"/>
      <c r="J28" s="193"/>
      <c r="K28" s="193"/>
      <c r="L28" s="193"/>
      <c r="M28" s="193"/>
      <c r="N28" s="193"/>
      <c r="O28" s="193"/>
      <c r="P28" s="193"/>
      <c r="Q28" s="193"/>
      <c r="R28" s="193"/>
      <c r="S28" s="193"/>
      <c r="T28" s="193"/>
      <c r="U28" s="193"/>
      <c r="V28" s="193"/>
      <c r="W28" s="198"/>
    </row>
    <row r="29" spans="1:23" ht="14.4" thickBot="1">
      <c r="A29" s="194"/>
      <c r="B29" s="219"/>
      <c r="C29" s="194"/>
      <c r="D29" s="194"/>
      <c r="E29" s="194"/>
      <c r="F29" s="194"/>
      <c r="G29" s="194"/>
      <c r="H29" s="194"/>
      <c r="I29" s="194"/>
      <c r="J29" s="194"/>
      <c r="K29" s="194"/>
      <c r="L29" s="194"/>
      <c r="M29" s="194"/>
      <c r="N29" s="194"/>
      <c r="O29" s="194"/>
      <c r="P29" s="194"/>
      <c r="Q29" s="193"/>
      <c r="R29" s="193"/>
      <c r="S29" s="194" t="s">
        <v>158</v>
      </c>
      <c r="T29" s="194"/>
      <c r="U29" s="194"/>
      <c r="V29" s="194"/>
      <c r="W29" s="198"/>
    </row>
    <row r="30" spans="1:23">
      <c r="A30" s="625"/>
      <c r="B30" s="626"/>
      <c r="C30" s="222" t="s">
        <v>132</v>
      </c>
      <c r="D30" s="220"/>
      <c r="E30" s="220"/>
      <c r="F30" s="220"/>
      <c r="G30" s="220"/>
      <c r="H30" s="261"/>
      <c r="I30" s="262"/>
      <c r="J30" s="262"/>
      <c r="K30" s="263"/>
      <c r="L30" s="264"/>
      <c r="M30" s="264"/>
      <c r="N30" s="261"/>
      <c r="O30" s="262"/>
      <c r="P30" s="265"/>
      <c r="Q30" s="193"/>
      <c r="R30" s="198"/>
      <c r="S30" s="193" t="s">
        <v>28</v>
      </c>
      <c r="T30" s="193" t="s">
        <v>29</v>
      </c>
      <c r="U30" s="221" t="s">
        <v>30</v>
      </c>
      <c r="V30" s="393"/>
      <c r="W30" s="198"/>
    </row>
    <row r="31" spans="1:23" ht="14.4" thickBot="1">
      <c r="A31" s="625"/>
      <c r="B31" s="626"/>
      <c r="C31" s="230" t="s">
        <v>133</v>
      </c>
      <c r="D31" s="231"/>
      <c r="E31" s="231"/>
      <c r="F31" s="231"/>
      <c r="G31" s="266"/>
      <c r="H31" s="261"/>
      <c r="I31" s="262"/>
      <c r="J31" s="262"/>
      <c r="K31" s="261"/>
      <c r="L31" s="262"/>
      <c r="M31" s="262"/>
      <c r="N31" s="263"/>
      <c r="O31" s="264"/>
      <c r="P31" s="267"/>
      <c r="Q31" s="193"/>
      <c r="R31" s="198"/>
      <c r="S31" s="193" t="s">
        <v>32</v>
      </c>
      <c r="T31" s="193" t="s">
        <v>30</v>
      </c>
      <c r="U31" s="221" t="s">
        <v>29</v>
      </c>
      <c r="V31" s="394"/>
      <c r="W31" s="198"/>
    </row>
    <row r="32" spans="1:23">
      <c r="A32" s="625"/>
      <c r="B32" s="626"/>
      <c r="C32" s="193" t="s">
        <v>36</v>
      </c>
      <c r="D32" s="193" t="s">
        <v>28</v>
      </c>
      <c r="E32" s="193" t="s">
        <v>29</v>
      </c>
      <c r="F32" s="193" t="s">
        <v>30</v>
      </c>
      <c r="G32" s="193" t="s">
        <v>31</v>
      </c>
      <c r="H32" s="470"/>
      <c r="I32" s="471"/>
      <c r="J32" s="472"/>
      <c r="K32" s="470"/>
      <c r="L32" s="471"/>
      <c r="M32" s="471"/>
      <c r="N32" s="473">
        <f>1-(1-N30*$V30)^((N$5*N6)*(1-N10))</f>
        <v>0</v>
      </c>
      <c r="O32" s="474">
        <f>1-(1-O30*$V30)^((O$5*O6)*(1-O10))</f>
        <v>0</v>
      </c>
      <c r="P32" s="475">
        <f>1-(1-P30*$V30)^((P$5*P6)*(1-P10))</f>
        <v>0</v>
      </c>
      <c r="Q32" s="193"/>
      <c r="R32" s="198"/>
      <c r="S32" s="193" t="s">
        <v>28</v>
      </c>
      <c r="T32" s="193" t="s">
        <v>29</v>
      </c>
      <c r="U32" s="221" t="s">
        <v>33</v>
      </c>
      <c r="V32" s="394"/>
      <c r="W32" s="198"/>
    </row>
    <row r="33" spans="1:23" ht="14.4" thickBot="1">
      <c r="A33" s="625"/>
      <c r="B33" s="626"/>
      <c r="C33" s="193" t="s">
        <v>36</v>
      </c>
      <c r="D33" s="193" t="s">
        <v>32</v>
      </c>
      <c r="E33" s="193" t="s">
        <v>30</v>
      </c>
      <c r="F33" s="193" t="s">
        <v>29</v>
      </c>
      <c r="G33" s="193" t="s">
        <v>31</v>
      </c>
      <c r="H33" s="467">
        <f>1-(1-H31*$V31)^((H$5*H7)*(1-H11))</f>
        <v>0</v>
      </c>
      <c r="I33" s="468">
        <f t="shared" ref="I33:M33" si="5">1-(1-I31*$V31)^((I$5*I7)*(1-I11))</f>
        <v>0</v>
      </c>
      <c r="J33" s="469">
        <f t="shared" si="5"/>
        <v>0</v>
      </c>
      <c r="K33" s="467">
        <f t="shared" si="5"/>
        <v>0</v>
      </c>
      <c r="L33" s="468">
        <f t="shared" si="5"/>
        <v>0</v>
      </c>
      <c r="M33" s="469">
        <f t="shared" si="5"/>
        <v>0</v>
      </c>
      <c r="N33" s="330"/>
      <c r="O33" s="327"/>
      <c r="P33" s="476"/>
      <c r="Q33" s="193"/>
      <c r="R33" s="193"/>
      <c r="S33" s="239" t="s">
        <v>32</v>
      </c>
      <c r="T33" s="194" t="s">
        <v>33</v>
      </c>
      <c r="U33" s="212" t="s">
        <v>29</v>
      </c>
      <c r="V33" s="395"/>
      <c r="W33" s="198"/>
    </row>
    <row r="34" spans="1:23">
      <c r="A34" s="625"/>
      <c r="B34" s="626"/>
      <c r="C34" s="193" t="s">
        <v>36</v>
      </c>
      <c r="D34" s="193" t="s">
        <v>28</v>
      </c>
      <c r="E34" s="193" t="s">
        <v>29</v>
      </c>
      <c r="F34" s="193" t="s">
        <v>33</v>
      </c>
      <c r="G34" s="193" t="s">
        <v>31</v>
      </c>
      <c r="H34" s="467">
        <f>1-(1-H30*$V32)^((H$5*H8)*(1-H12))</f>
        <v>0</v>
      </c>
      <c r="I34" s="468">
        <f>1-(1-I30*$V32)^((I$5*I8)*(1-I12))</f>
        <v>0</v>
      </c>
      <c r="J34" s="469">
        <f>1-(1-J30*$V32)^((J$5*J8)*(1-J12))</f>
        <v>0</v>
      </c>
      <c r="K34" s="330"/>
      <c r="L34" s="327"/>
      <c r="M34" s="327"/>
      <c r="N34" s="330"/>
      <c r="O34" s="327"/>
      <c r="P34" s="476"/>
      <c r="Q34" s="193"/>
      <c r="R34" s="193"/>
      <c r="S34" s="193"/>
      <c r="T34" s="193"/>
      <c r="U34" s="193"/>
      <c r="V34" s="396"/>
      <c r="W34" s="198"/>
    </row>
    <row r="35" spans="1:23" ht="14.4" thickBot="1">
      <c r="A35" s="625" t="s">
        <v>43</v>
      </c>
      <c r="B35" s="626"/>
      <c r="C35" s="194" t="s">
        <v>36</v>
      </c>
      <c r="D35" s="194" t="s">
        <v>32</v>
      </c>
      <c r="E35" s="194" t="s">
        <v>33</v>
      </c>
      <c r="F35" s="194" t="s">
        <v>29</v>
      </c>
      <c r="G35" s="212" t="s">
        <v>31</v>
      </c>
      <c r="H35" s="246">
        <f>1-(1-H30*$V33)^((H$5*H9)*(1-H13))</f>
        <v>0</v>
      </c>
      <c r="I35" s="247">
        <f>1-(1-I30*$V33)^((I$5*I9)*(1-I13))</f>
        <v>0</v>
      </c>
      <c r="J35" s="271">
        <f>1-(1-J30*$V33)^((J$5*J9)*(1-J13))</f>
        <v>0</v>
      </c>
      <c r="K35" s="477"/>
      <c r="L35" s="478"/>
      <c r="M35" s="478"/>
      <c r="N35" s="477"/>
      <c r="O35" s="478"/>
      <c r="P35" s="479"/>
      <c r="Q35" s="193"/>
      <c r="R35" s="193"/>
      <c r="S35" s="193"/>
      <c r="T35" s="193"/>
      <c r="U35" s="193"/>
      <c r="V35" s="396"/>
      <c r="W35" s="198"/>
    </row>
    <row r="36" spans="1:23" ht="14.4" thickBot="1">
      <c r="A36" s="625"/>
      <c r="B36" s="626"/>
      <c r="C36" s="194" t="s">
        <v>37</v>
      </c>
      <c r="D36" s="194"/>
      <c r="E36" s="194"/>
      <c r="F36" s="194"/>
      <c r="G36" s="194"/>
      <c r="H36" s="246">
        <f t="shared" ref="H36:P36" si="6">SUM(H32:H35)</f>
        <v>0</v>
      </c>
      <c r="I36" s="247">
        <f t="shared" si="6"/>
        <v>0</v>
      </c>
      <c r="J36" s="271">
        <f t="shared" si="6"/>
        <v>0</v>
      </c>
      <c r="K36" s="246">
        <f t="shared" si="6"/>
        <v>0</v>
      </c>
      <c r="L36" s="247">
        <f t="shared" si="6"/>
        <v>0</v>
      </c>
      <c r="M36" s="247">
        <f t="shared" si="6"/>
        <v>0</v>
      </c>
      <c r="N36" s="246">
        <f>SUM(N32:N35)</f>
        <v>0</v>
      </c>
      <c r="O36" s="247">
        <f t="shared" si="6"/>
        <v>0</v>
      </c>
      <c r="P36" s="272">
        <f t="shared" si="6"/>
        <v>0</v>
      </c>
      <c r="Q36" s="193"/>
      <c r="R36" s="193"/>
      <c r="S36" s="193"/>
      <c r="T36" s="193"/>
      <c r="U36" s="193"/>
      <c r="V36" s="396"/>
      <c r="W36" s="198"/>
    </row>
    <row r="37" spans="1:23">
      <c r="A37" s="625"/>
      <c r="B37" s="626"/>
      <c r="C37" s="195" t="s">
        <v>135</v>
      </c>
      <c r="D37" s="195"/>
      <c r="E37" s="195"/>
      <c r="F37" s="195"/>
      <c r="G37" s="238"/>
      <c r="H37" s="273"/>
      <c r="I37" s="274"/>
      <c r="J37" s="275"/>
      <c r="K37" s="273"/>
      <c r="L37" s="274"/>
      <c r="M37" s="275"/>
      <c r="N37" s="273"/>
      <c r="O37" s="274"/>
      <c r="P37" s="276"/>
      <c r="Q37" s="193"/>
      <c r="R37" s="193"/>
      <c r="S37" s="193"/>
      <c r="T37" s="193"/>
      <c r="U37" s="193"/>
      <c r="V37" s="396"/>
      <c r="W37" s="198"/>
    </row>
    <row r="38" spans="1:23">
      <c r="A38" s="625"/>
      <c r="B38" s="626"/>
      <c r="C38" s="193" t="s">
        <v>136</v>
      </c>
      <c r="D38" s="193"/>
      <c r="E38" s="193"/>
      <c r="F38" s="193"/>
      <c r="G38" s="221"/>
      <c r="H38" s="277">
        <f>H36*H$4*(1-H37)</f>
        <v>0</v>
      </c>
      <c r="I38" s="278">
        <f t="shared" ref="I38:P38" si="7">I36*I$4*(1-I37)</f>
        <v>0</v>
      </c>
      <c r="J38" s="279">
        <f t="shared" si="7"/>
        <v>0</v>
      </c>
      <c r="K38" s="277">
        <f t="shared" si="7"/>
        <v>0</v>
      </c>
      <c r="L38" s="278">
        <f t="shared" si="7"/>
        <v>0</v>
      </c>
      <c r="M38" s="279">
        <f t="shared" si="7"/>
        <v>0</v>
      </c>
      <c r="N38" s="277">
        <f t="shared" si="7"/>
        <v>0</v>
      </c>
      <c r="O38" s="278">
        <f t="shared" si="7"/>
        <v>0</v>
      </c>
      <c r="P38" s="280">
        <f t="shared" si="7"/>
        <v>0</v>
      </c>
      <c r="Q38" s="193"/>
      <c r="R38" s="193"/>
      <c r="S38" s="193"/>
      <c r="T38" s="193"/>
      <c r="U38" s="193"/>
      <c r="V38" s="396"/>
      <c r="W38" s="198"/>
    </row>
    <row r="39" spans="1:23">
      <c r="A39" s="625"/>
      <c r="B39" s="626"/>
      <c r="C39" s="193" t="s">
        <v>38</v>
      </c>
      <c r="D39" s="193"/>
      <c r="E39" s="193"/>
      <c r="F39" s="193"/>
      <c r="G39" s="221"/>
      <c r="H39" s="438"/>
      <c r="I39" s="439"/>
      <c r="J39" s="440"/>
      <c r="K39" s="438"/>
      <c r="L39" s="439"/>
      <c r="M39" s="440"/>
      <c r="N39" s="438"/>
      <c r="O39" s="439"/>
      <c r="P39" s="441"/>
      <c r="Q39" s="193"/>
      <c r="R39" s="193"/>
      <c r="S39" s="193"/>
      <c r="T39" s="193"/>
      <c r="U39" s="193"/>
      <c r="V39" s="396"/>
      <c r="W39" s="198"/>
    </row>
    <row r="40" spans="1:23" ht="14.4" thickBot="1">
      <c r="A40" s="627"/>
      <c r="B40" s="628"/>
      <c r="C40" s="194" t="s">
        <v>137</v>
      </c>
      <c r="D40" s="194"/>
      <c r="E40" s="194"/>
      <c r="F40" s="194"/>
      <c r="G40" s="212"/>
      <c r="H40" s="281">
        <f>H38*H39</f>
        <v>0</v>
      </c>
      <c r="I40" s="308">
        <f t="shared" ref="I40:P40" si="8">I38*I39</f>
        <v>0</v>
      </c>
      <c r="J40" s="309">
        <f t="shared" si="8"/>
        <v>0</v>
      </c>
      <c r="K40" s="308">
        <f t="shared" si="8"/>
        <v>0</v>
      </c>
      <c r="L40" s="308">
        <f t="shared" si="8"/>
        <v>0</v>
      </c>
      <c r="M40" s="309">
        <f t="shared" si="8"/>
        <v>0</v>
      </c>
      <c r="N40" s="308">
        <f t="shared" si="8"/>
        <v>0</v>
      </c>
      <c r="O40" s="308">
        <f t="shared" si="8"/>
        <v>0</v>
      </c>
      <c r="P40" s="310">
        <f t="shared" si="8"/>
        <v>0</v>
      </c>
      <c r="Q40" s="193"/>
      <c r="R40" s="193"/>
      <c r="S40" s="193"/>
      <c r="T40" s="193"/>
      <c r="U40" s="193"/>
      <c r="V40" s="396"/>
      <c r="W40" s="198"/>
    </row>
    <row r="41" spans="1:23">
      <c r="A41" s="218"/>
      <c r="B41" s="193"/>
      <c r="C41" s="195"/>
      <c r="D41" s="193"/>
      <c r="E41" s="193"/>
      <c r="F41" s="193"/>
      <c r="G41" s="193"/>
      <c r="H41" s="193"/>
      <c r="I41" s="193"/>
      <c r="J41" s="193"/>
      <c r="K41" s="193"/>
      <c r="L41" s="193"/>
      <c r="M41" s="193"/>
      <c r="N41" s="193"/>
      <c r="O41" s="193"/>
      <c r="P41" s="193"/>
      <c r="Q41" s="193"/>
      <c r="R41" s="193"/>
      <c r="S41" s="193"/>
      <c r="T41" s="193"/>
      <c r="U41" s="193"/>
      <c r="V41" s="396"/>
      <c r="W41" s="198"/>
    </row>
    <row r="42" spans="1:23" ht="14.4" thickBot="1">
      <c r="A42" s="218"/>
      <c r="B42" s="193"/>
      <c r="C42" s="194"/>
      <c r="D42" s="194"/>
      <c r="E42" s="194"/>
      <c r="F42" s="194"/>
      <c r="G42" s="194"/>
      <c r="H42" s="194"/>
      <c r="I42" s="194"/>
      <c r="J42" s="194"/>
      <c r="K42" s="193"/>
      <c r="L42" s="193"/>
      <c r="M42" s="193"/>
      <c r="N42" s="193"/>
      <c r="O42" s="193"/>
      <c r="P42" s="193"/>
      <c r="Q42" s="193"/>
      <c r="R42" s="193"/>
      <c r="S42" s="193"/>
      <c r="T42" s="193"/>
      <c r="U42" s="193"/>
      <c r="V42" s="397"/>
      <c r="W42" s="198"/>
    </row>
    <row r="43" spans="1:23">
      <c r="A43" s="630"/>
      <c r="B43" s="631"/>
      <c r="C43" s="222" t="s">
        <v>132</v>
      </c>
      <c r="D43" s="220"/>
      <c r="E43" s="220"/>
      <c r="F43" s="220"/>
      <c r="G43" s="220"/>
      <c r="H43" s="232"/>
      <c r="I43" s="233"/>
      <c r="J43" s="233"/>
      <c r="K43" s="235"/>
      <c r="L43" s="236"/>
      <c r="M43" s="236"/>
      <c r="N43" s="324"/>
      <c r="O43" s="324"/>
      <c r="P43" s="324"/>
      <c r="Q43" s="193"/>
      <c r="R43" s="193"/>
      <c r="S43" s="193"/>
      <c r="T43" s="193"/>
      <c r="U43" s="193"/>
      <c r="V43" s="285"/>
      <c r="W43" s="198"/>
    </row>
    <row r="44" spans="1:23" ht="14.4" thickBot="1">
      <c r="A44" s="625"/>
      <c r="B44" s="626"/>
      <c r="C44" s="230" t="s">
        <v>133</v>
      </c>
      <c r="D44" s="231"/>
      <c r="E44" s="231"/>
      <c r="F44" s="231"/>
      <c r="G44" s="266"/>
      <c r="H44" s="232"/>
      <c r="I44" s="233"/>
      <c r="J44" s="233"/>
      <c r="K44" s="323"/>
      <c r="L44" s="324"/>
      <c r="M44" s="324"/>
      <c r="N44" s="236"/>
      <c r="O44" s="236"/>
      <c r="P44" s="236"/>
      <c r="Q44" s="193"/>
      <c r="R44" s="193"/>
      <c r="S44" s="194" t="s">
        <v>158</v>
      </c>
      <c r="T44" s="193"/>
      <c r="U44" s="193"/>
      <c r="V44" s="285"/>
      <c r="W44" s="198"/>
    </row>
    <row r="45" spans="1:23">
      <c r="A45" s="625"/>
      <c r="B45" s="626"/>
      <c r="C45" s="193" t="s">
        <v>36</v>
      </c>
      <c r="D45" s="193" t="s">
        <v>28</v>
      </c>
      <c r="E45" s="193" t="s">
        <v>29</v>
      </c>
      <c r="F45" s="193" t="s">
        <v>30</v>
      </c>
      <c r="G45" s="193" t="s">
        <v>31</v>
      </c>
      <c r="H45" s="268"/>
      <c r="I45" s="269"/>
      <c r="J45" s="270"/>
      <c r="K45" s="283"/>
      <c r="L45" s="284"/>
      <c r="M45" s="284"/>
      <c r="N45" s="326"/>
      <c r="O45" s="326"/>
      <c r="P45" s="326"/>
      <c r="Q45" s="193"/>
      <c r="R45" s="198"/>
      <c r="S45" s="195" t="s">
        <v>28</v>
      </c>
      <c r="T45" s="195" t="s">
        <v>29</v>
      </c>
      <c r="U45" s="238" t="s">
        <v>33</v>
      </c>
      <c r="V45" s="345"/>
      <c r="W45" s="198"/>
    </row>
    <row r="46" spans="1:23" ht="14.4" thickBot="1">
      <c r="A46" s="625"/>
      <c r="B46" s="626"/>
      <c r="C46" s="193" t="s">
        <v>36</v>
      </c>
      <c r="D46" s="193" t="s">
        <v>32</v>
      </c>
      <c r="E46" s="193" t="s">
        <v>30</v>
      </c>
      <c r="F46" s="193" t="s">
        <v>29</v>
      </c>
      <c r="G46" s="193" t="s">
        <v>31</v>
      </c>
      <c r="H46" s="325"/>
      <c r="I46" s="326"/>
      <c r="J46" s="346"/>
      <c r="K46" s="325"/>
      <c r="L46" s="326"/>
      <c r="M46" s="326"/>
      <c r="N46" s="193"/>
      <c r="O46" s="193"/>
      <c r="P46" s="193"/>
      <c r="Q46" s="193"/>
      <c r="R46" s="198"/>
      <c r="S46" s="194" t="s">
        <v>32</v>
      </c>
      <c r="T46" s="194" t="s">
        <v>33</v>
      </c>
      <c r="U46" s="212" t="s">
        <v>29</v>
      </c>
      <c r="V46" s="398"/>
      <c r="W46" s="198"/>
    </row>
    <row r="47" spans="1:23">
      <c r="A47" s="625"/>
      <c r="B47" s="626"/>
      <c r="C47" s="193" t="s">
        <v>36</v>
      </c>
      <c r="D47" s="193" t="s">
        <v>28</v>
      </c>
      <c r="E47" s="193" t="s">
        <v>29</v>
      </c>
      <c r="F47" s="193" t="s">
        <v>33</v>
      </c>
      <c r="G47" s="193" t="s">
        <v>31</v>
      </c>
      <c r="H47" s="467">
        <f>1-((1-H43)+H43*((1-$V45)^(H$5*(1-H12))))^H8</f>
        <v>0</v>
      </c>
      <c r="I47" s="468">
        <f>1-((1-I43)+I43*((1-$V45)^(I$5*(1-I12))))^I8</f>
        <v>0</v>
      </c>
      <c r="J47" s="469">
        <f>1-((1-J43)+J43*((1-$V45)^(J$5*(1-J12))))^J8</f>
        <v>0</v>
      </c>
      <c r="K47" s="240"/>
      <c r="L47" s="193"/>
      <c r="M47" s="193"/>
      <c r="N47" s="193"/>
      <c r="O47" s="193"/>
      <c r="P47" s="193"/>
      <c r="Q47" s="193"/>
      <c r="R47" s="193"/>
      <c r="S47" s="193"/>
      <c r="T47" s="193"/>
      <c r="U47" s="193"/>
      <c r="V47" s="282"/>
      <c r="W47" s="198"/>
    </row>
    <row r="48" spans="1:23" ht="14.4" thickBot="1">
      <c r="A48" s="625" t="s">
        <v>39</v>
      </c>
      <c r="B48" s="626"/>
      <c r="C48" s="241" t="s">
        <v>36</v>
      </c>
      <c r="D48" s="194" t="s">
        <v>32</v>
      </c>
      <c r="E48" s="194" t="s">
        <v>33</v>
      </c>
      <c r="F48" s="194" t="s">
        <v>29</v>
      </c>
      <c r="G48" s="212" t="s">
        <v>31</v>
      </c>
      <c r="H48" s="246">
        <f>1-((1-H43)+H43*((1-$V46)^(H$5*(1-H13))))^H9</f>
        <v>0</v>
      </c>
      <c r="I48" s="247">
        <f>1-((1-I43)+I43*((1-$V46)^(I$5*(1-I13))))^I9</f>
        <v>0</v>
      </c>
      <c r="J48" s="271">
        <f>1-((1-J43)+J43*((1-$V46)^(J$5*(1-J13))))^J9</f>
        <v>0</v>
      </c>
      <c r="K48" s="240"/>
      <c r="L48" s="193"/>
      <c r="M48" s="193"/>
      <c r="N48" s="193"/>
      <c r="O48" s="193"/>
      <c r="P48" s="193"/>
      <c r="Q48" s="193"/>
      <c r="R48" s="193"/>
      <c r="S48" s="193"/>
      <c r="T48" s="193"/>
      <c r="U48" s="193"/>
      <c r="V48" s="193"/>
      <c r="W48" s="198"/>
    </row>
    <row r="49" spans="1:23" ht="14.4" thickBot="1">
      <c r="A49" s="625"/>
      <c r="B49" s="626"/>
      <c r="C49" s="194" t="s">
        <v>37</v>
      </c>
      <c r="D49" s="194"/>
      <c r="E49" s="194"/>
      <c r="F49" s="194"/>
      <c r="G49" s="194"/>
      <c r="H49" s="246">
        <f t="shared" ref="H49:J49" si="9">SUM(H45:H48)</f>
        <v>0</v>
      </c>
      <c r="I49" s="247">
        <f t="shared" si="9"/>
        <v>0</v>
      </c>
      <c r="J49" s="247">
        <f t="shared" si="9"/>
        <v>0</v>
      </c>
      <c r="K49" s="330"/>
      <c r="L49" s="327"/>
      <c r="M49" s="327"/>
      <c r="N49" s="327"/>
      <c r="O49" s="327"/>
      <c r="P49" s="327"/>
      <c r="Q49" s="193"/>
      <c r="R49" s="193"/>
      <c r="S49" s="193"/>
      <c r="T49" s="193"/>
      <c r="U49" s="193"/>
      <c r="V49" s="193"/>
      <c r="W49" s="198"/>
    </row>
    <row r="50" spans="1:23">
      <c r="A50" s="625"/>
      <c r="B50" s="626"/>
      <c r="C50" s="195" t="s">
        <v>135</v>
      </c>
      <c r="D50" s="195"/>
      <c r="E50" s="195"/>
      <c r="F50" s="195"/>
      <c r="G50" s="238"/>
      <c r="H50" s="303"/>
      <c r="I50" s="304"/>
      <c r="J50" s="304"/>
      <c r="K50" s="323"/>
      <c r="L50" s="324"/>
      <c r="M50" s="324"/>
      <c r="N50" s="324"/>
      <c r="O50" s="324"/>
      <c r="P50" s="324"/>
      <c r="Q50" s="193"/>
      <c r="R50" s="193"/>
      <c r="S50" s="193"/>
      <c r="T50" s="193"/>
      <c r="U50" s="193"/>
      <c r="V50" s="193"/>
      <c r="W50" s="198"/>
    </row>
    <row r="51" spans="1:23">
      <c r="A51" s="625"/>
      <c r="B51" s="626"/>
      <c r="C51" s="193" t="s">
        <v>136</v>
      </c>
      <c r="D51" s="193"/>
      <c r="E51" s="193"/>
      <c r="F51" s="193"/>
      <c r="G51" s="221"/>
      <c r="H51" s="255">
        <f>H49*H$4*(1-H50)</f>
        <v>0</v>
      </c>
      <c r="I51" s="253">
        <f t="shared" ref="I51:J51" si="10">I49*I$4*(1-I50)</f>
        <v>0</v>
      </c>
      <c r="J51" s="253">
        <f t="shared" si="10"/>
        <v>0</v>
      </c>
      <c r="K51" s="331"/>
      <c r="L51" s="328"/>
      <c r="M51" s="328"/>
      <c r="N51" s="328"/>
      <c r="O51" s="328"/>
      <c r="P51" s="328"/>
      <c r="Q51" s="193"/>
      <c r="R51" s="193"/>
      <c r="S51" s="193"/>
      <c r="T51" s="193"/>
      <c r="U51" s="193"/>
      <c r="V51" s="193"/>
      <c r="W51" s="198"/>
    </row>
    <row r="52" spans="1:23">
      <c r="A52" s="625"/>
      <c r="B52" s="626"/>
      <c r="C52" s="193" t="s">
        <v>38</v>
      </c>
      <c r="D52" s="193"/>
      <c r="E52" s="193"/>
      <c r="F52" s="193"/>
      <c r="G52" s="221"/>
      <c r="H52" s="442"/>
      <c r="I52" s="439"/>
      <c r="J52" s="439"/>
      <c r="K52" s="332"/>
      <c r="L52" s="329"/>
      <c r="M52" s="329"/>
      <c r="N52" s="329"/>
      <c r="O52" s="329"/>
      <c r="P52" s="329"/>
      <c r="Q52" s="193"/>
      <c r="R52" s="193"/>
      <c r="S52" s="193"/>
      <c r="T52" s="193"/>
      <c r="U52" s="193"/>
      <c r="V52" s="193"/>
      <c r="W52" s="198"/>
    </row>
    <row r="53" spans="1:23" ht="14.4" thickBot="1">
      <c r="A53" s="627"/>
      <c r="B53" s="628"/>
      <c r="C53" s="194" t="s">
        <v>137</v>
      </c>
      <c r="D53" s="194"/>
      <c r="E53" s="194"/>
      <c r="F53" s="194"/>
      <c r="G53" s="212"/>
      <c r="H53" s="257">
        <f>H51*H52</f>
        <v>0</v>
      </c>
      <c r="I53" s="258">
        <f>I51*I52</f>
        <v>0</v>
      </c>
      <c r="J53" s="258">
        <f t="shared" ref="J53" si="11">J51*J52</f>
        <v>0</v>
      </c>
      <c r="K53" s="331"/>
      <c r="L53" s="328"/>
      <c r="M53" s="328"/>
      <c r="N53" s="328"/>
      <c r="O53" s="328"/>
      <c r="P53" s="328"/>
      <c r="Q53" s="193"/>
      <c r="R53" s="193"/>
      <c r="S53" s="193"/>
      <c r="T53" s="193"/>
      <c r="U53" s="193"/>
      <c r="V53" s="193"/>
      <c r="W53" s="198"/>
    </row>
    <row r="54" spans="1:23">
      <c r="A54" s="218"/>
      <c r="B54" s="193"/>
      <c r="C54" s="193"/>
      <c r="D54" s="193"/>
      <c r="E54" s="193"/>
      <c r="F54" s="193"/>
      <c r="G54" s="193"/>
      <c r="H54" s="193"/>
      <c r="I54" s="193"/>
      <c r="J54" s="193"/>
      <c r="K54" s="193"/>
      <c r="L54" s="193"/>
      <c r="M54" s="193"/>
      <c r="N54" s="193"/>
      <c r="O54" s="193"/>
      <c r="P54" s="193"/>
      <c r="Q54" s="193"/>
      <c r="R54" s="193"/>
      <c r="S54" s="193"/>
      <c r="T54" s="193"/>
      <c r="U54" s="193"/>
      <c r="V54" s="193"/>
      <c r="W54" s="198"/>
    </row>
    <row r="55" spans="1:23">
      <c r="A55" s="218"/>
      <c r="B55" s="193"/>
      <c r="C55" s="193"/>
      <c r="D55" s="193"/>
      <c r="E55" s="193"/>
      <c r="F55" s="193"/>
      <c r="G55" s="193"/>
      <c r="H55" s="193"/>
      <c r="I55" s="193"/>
      <c r="J55" s="193"/>
      <c r="K55" s="193"/>
      <c r="L55" s="193"/>
      <c r="M55" s="193"/>
      <c r="N55" s="193"/>
      <c r="O55" s="193"/>
      <c r="P55" s="193"/>
      <c r="Q55" s="193"/>
      <c r="R55" s="193"/>
      <c r="S55" s="193"/>
      <c r="T55" s="193"/>
      <c r="U55" s="193"/>
      <c r="V55" s="193"/>
      <c r="W55" s="198"/>
    </row>
    <row r="56" spans="1:23" ht="14.4" thickBot="1">
      <c r="A56" s="239"/>
      <c r="B56" s="194"/>
      <c r="C56" s="194"/>
      <c r="D56" s="194"/>
      <c r="E56" s="194"/>
      <c r="F56" s="194"/>
      <c r="G56" s="194"/>
      <c r="H56" s="194"/>
      <c r="I56" s="194"/>
      <c r="J56" s="194"/>
      <c r="K56" s="194"/>
      <c r="L56" s="194"/>
      <c r="M56" s="194"/>
      <c r="N56" s="194"/>
      <c r="O56" s="194"/>
      <c r="P56" s="194"/>
      <c r="Q56" s="194"/>
      <c r="R56" s="194"/>
      <c r="S56" s="194"/>
      <c r="T56" s="194"/>
      <c r="U56" s="194"/>
      <c r="V56" s="194"/>
      <c r="W56" s="242"/>
    </row>
  </sheetData>
  <pageMargins left="0.7" right="0.7" top="0.75" bottom="0.75" header="0.3" footer="0.3"/>
  <pageSetup orientation="portrait" horizontalDpi="300" verticalDpi="0" r:id="rId1"/>
  <drawing r:id="rId2"/>
  <legacyDrawing r:id="rId3"/>
  <controls>
    <mc:AlternateContent xmlns:mc="http://schemas.openxmlformats.org/markup-compatibility/2006">
      <mc:Choice Requires="x14">
        <control shapeId="34817" r:id="rId4" name="CommandButton1">
          <controlPr defaultSize="0" autoLine="0" altText="Back" r:id="rId5">
            <anchor moveWithCells="1">
              <from>
                <xdr:col>0</xdr:col>
                <xdr:colOff>60960</xdr:colOff>
                <xdr:row>0</xdr:row>
                <xdr:rowOff>60960</xdr:rowOff>
              </from>
              <to>
                <xdr:col>0</xdr:col>
                <xdr:colOff>594360</xdr:colOff>
                <xdr:row>2</xdr:row>
                <xdr:rowOff>129540</xdr:rowOff>
              </to>
            </anchor>
          </controlPr>
        </control>
      </mc:Choice>
      <mc:Fallback>
        <control shapeId="34817" r:id="rId4" name="CommandButton1"/>
      </mc:Fallback>
    </mc:AlternateContent>
  </controls>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pageSetUpPr autoPageBreaks="0"/>
  </sheetPr>
  <dimension ref="A1:AR56"/>
  <sheetViews>
    <sheetView zoomScale="80" zoomScaleNormal="80" workbookViewId="0"/>
  </sheetViews>
  <sheetFormatPr defaultColWidth="9.109375" defaultRowHeight="13.8"/>
  <cols>
    <col min="1" max="2" width="9.109375" style="197"/>
    <col min="3" max="3" width="23.6640625" style="197" customWidth="1"/>
    <col min="4" max="4" width="10.33203125" style="197" customWidth="1"/>
    <col min="5" max="6" width="9.109375" style="197"/>
    <col min="7" max="7" width="19.6640625" style="197" customWidth="1"/>
    <col min="8" max="16" width="14.6640625" style="197" customWidth="1"/>
    <col min="17" max="17" width="2" style="197" customWidth="1"/>
    <col min="18" max="18" width="9.109375" style="197"/>
    <col min="19" max="19" width="10.88671875" style="197" customWidth="1"/>
    <col min="20" max="16384" width="9.109375" style="197"/>
  </cols>
  <sheetData>
    <row r="1" spans="1:23" ht="15" customHeight="1">
      <c r="A1" s="592"/>
      <c r="B1" s="633"/>
      <c r="C1" s="593"/>
      <c r="D1" s="593"/>
      <c r="E1" s="593"/>
      <c r="F1" s="593"/>
      <c r="G1" s="613"/>
      <c r="H1" s="590"/>
      <c r="I1" s="596" t="s">
        <v>73</v>
      </c>
      <c r="J1" s="598"/>
      <c r="K1" s="590"/>
      <c r="L1" s="590" t="s">
        <v>74</v>
      </c>
      <c r="M1" s="598"/>
      <c r="N1" s="590"/>
      <c r="O1" s="590" t="s">
        <v>75</v>
      </c>
      <c r="P1" s="590"/>
      <c r="Q1" s="195"/>
      <c r="R1" s="195"/>
      <c r="S1" s="195"/>
      <c r="T1" s="195"/>
      <c r="U1" s="195"/>
      <c r="V1" s="195"/>
      <c r="W1" s="196"/>
    </row>
    <row r="2" spans="1:23" ht="15" customHeight="1">
      <c r="A2" s="634"/>
      <c r="B2" s="632"/>
      <c r="C2" s="632" t="s">
        <v>53</v>
      </c>
      <c r="D2" s="408"/>
      <c r="E2" s="408"/>
      <c r="F2" s="408"/>
      <c r="G2" s="614"/>
      <c r="H2" s="591"/>
      <c r="I2" s="597"/>
      <c r="J2" s="599"/>
      <c r="K2" s="591"/>
      <c r="L2" s="591"/>
      <c r="M2" s="599"/>
      <c r="N2" s="591"/>
      <c r="O2" s="591"/>
      <c r="P2" s="591"/>
      <c r="Q2" s="193"/>
      <c r="R2" s="193"/>
      <c r="S2" s="193"/>
      <c r="T2" s="193"/>
      <c r="U2" s="193"/>
      <c r="V2" s="193"/>
      <c r="W2" s="198"/>
    </row>
    <row r="3" spans="1:23" ht="15.75" customHeight="1" thickBot="1">
      <c r="A3" s="635"/>
      <c r="B3" s="636"/>
      <c r="C3" s="219"/>
      <c r="D3" s="219"/>
      <c r="E3" s="219"/>
      <c r="F3" s="219"/>
      <c r="G3" s="615"/>
      <c r="H3" s="113" t="s">
        <v>4</v>
      </c>
      <c r="I3" s="113" t="s">
        <v>5</v>
      </c>
      <c r="J3" s="600">
        <v>18</v>
      </c>
      <c r="K3" s="113" t="s">
        <v>4</v>
      </c>
      <c r="L3" s="113" t="s">
        <v>5</v>
      </c>
      <c r="M3" s="600">
        <v>18</v>
      </c>
      <c r="N3" s="113" t="s">
        <v>4</v>
      </c>
      <c r="O3" s="113" t="s">
        <v>5</v>
      </c>
      <c r="P3" s="113">
        <v>18</v>
      </c>
      <c r="Q3" s="193"/>
      <c r="R3" s="199"/>
      <c r="S3" s="200"/>
      <c r="T3" s="193"/>
      <c r="U3" s="193"/>
      <c r="V3" s="193"/>
      <c r="W3" s="198"/>
    </row>
    <row r="4" spans="1:23" ht="14.4" thickBot="1">
      <c r="A4" s="640" t="s">
        <v>44</v>
      </c>
      <c r="B4" s="641"/>
      <c r="C4" s="193"/>
      <c r="D4" s="193"/>
      <c r="E4" s="193"/>
      <c r="F4" s="193"/>
      <c r="G4" s="611"/>
      <c r="H4" s="347"/>
      <c r="I4" s="347"/>
      <c r="J4" s="601"/>
      <c r="K4" s="347"/>
      <c r="L4" s="347"/>
      <c r="M4" s="450"/>
      <c r="N4" s="347"/>
      <c r="O4" s="347"/>
      <c r="P4" s="348"/>
      <c r="Q4" s="193"/>
      <c r="S4" s="201"/>
      <c r="T4" s="456" t="s">
        <v>41</v>
      </c>
      <c r="U4" s="456"/>
      <c r="V4" s="457"/>
      <c r="W4" s="198"/>
    </row>
    <row r="5" spans="1:23" ht="15" customHeight="1" thickBot="1">
      <c r="A5" s="621"/>
      <c r="B5" s="616"/>
      <c r="C5" s="452" t="s">
        <v>164</v>
      </c>
      <c r="D5" s="453"/>
      <c r="E5" s="453"/>
      <c r="F5" s="453"/>
      <c r="G5" s="612"/>
      <c r="H5" s="454"/>
      <c r="I5" s="454"/>
      <c r="J5" s="602"/>
      <c r="K5" s="454"/>
      <c r="L5" s="454"/>
      <c r="M5" s="602"/>
      <c r="N5" s="454"/>
      <c r="O5" s="454"/>
      <c r="P5" s="455"/>
      <c r="Q5" s="193"/>
      <c r="R5" s="287"/>
      <c r="S5" s="205"/>
      <c r="T5" s="458" t="s">
        <v>40</v>
      </c>
      <c r="U5" s="458"/>
      <c r="V5" s="459"/>
      <c r="W5" s="198"/>
    </row>
    <row r="6" spans="1:23" ht="14.4" thickBot="1">
      <c r="A6" s="624"/>
      <c r="B6" s="618"/>
      <c r="C6" s="218" t="s">
        <v>165</v>
      </c>
      <c r="D6" s="193" t="s">
        <v>28</v>
      </c>
      <c r="E6" s="193" t="s">
        <v>29</v>
      </c>
      <c r="F6" s="193" t="s">
        <v>30</v>
      </c>
      <c r="G6" s="221" t="s">
        <v>163</v>
      </c>
      <c r="H6" s="202"/>
      <c r="I6" s="202"/>
      <c r="J6" s="603"/>
      <c r="K6" s="216"/>
      <c r="L6" s="216"/>
      <c r="M6" s="606"/>
      <c r="N6" s="203"/>
      <c r="O6" s="203"/>
      <c r="P6" s="204"/>
      <c r="Q6" s="193"/>
      <c r="S6" s="209"/>
      <c r="T6" s="210" t="s">
        <v>134</v>
      </c>
      <c r="U6" s="210"/>
      <c r="V6" s="211"/>
      <c r="W6" s="198"/>
    </row>
    <row r="7" spans="1:23">
      <c r="A7" s="622" t="s">
        <v>241</v>
      </c>
      <c r="B7" s="618"/>
      <c r="C7" s="218" t="s">
        <v>165</v>
      </c>
      <c r="D7" s="193" t="s">
        <v>32</v>
      </c>
      <c r="E7" s="193" t="s">
        <v>30</v>
      </c>
      <c r="F7" s="193" t="s">
        <v>29</v>
      </c>
      <c r="G7" s="221" t="s">
        <v>163</v>
      </c>
      <c r="H7" s="206"/>
      <c r="I7" s="206"/>
      <c r="J7" s="604"/>
      <c r="K7" s="206"/>
      <c r="L7" s="206"/>
      <c r="M7" s="604"/>
      <c r="N7" s="207"/>
      <c r="O7" s="207"/>
      <c r="P7" s="208"/>
      <c r="Q7" s="193"/>
      <c r="R7" s="193"/>
      <c r="S7" s="193"/>
      <c r="T7" s="193"/>
      <c r="U7" s="193"/>
      <c r="V7" s="193"/>
      <c r="W7" s="198"/>
    </row>
    <row r="8" spans="1:23">
      <c r="A8" s="622" t="s">
        <v>242</v>
      </c>
      <c r="B8" s="618"/>
      <c r="C8" s="218" t="s">
        <v>165</v>
      </c>
      <c r="D8" s="193" t="s">
        <v>28</v>
      </c>
      <c r="E8" s="193" t="s">
        <v>29</v>
      </c>
      <c r="F8" s="193" t="s">
        <v>33</v>
      </c>
      <c r="G8" s="221" t="s">
        <v>163</v>
      </c>
      <c r="H8" s="206"/>
      <c r="I8" s="206"/>
      <c r="J8" s="604"/>
      <c r="K8" s="207"/>
      <c r="L8" s="207"/>
      <c r="M8" s="609"/>
      <c r="N8" s="207"/>
      <c r="O8" s="207"/>
      <c r="P8" s="208"/>
      <c r="Q8" s="193"/>
      <c r="R8" s="193"/>
      <c r="S8" s="193"/>
      <c r="T8" s="193"/>
      <c r="U8" s="193"/>
      <c r="V8" s="193"/>
      <c r="W8" s="198"/>
    </row>
    <row r="9" spans="1:23" ht="14.4" thickBot="1">
      <c r="A9" s="623"/>
      <c r="B9" s="618"/>
      <c r="C9" s="239" t="s">
        <v>165</v>
      </c>
      <c r="D9" s="194" t="s">
        <v>32</v>
      </c>
      <c r="E9" s="194" t="s">
        <v>33</v>
      </c>
      <c r="F9" s="194" t="s">
        <v>29</v>
      </c>
      <c r="G9" s="221" t="s">
        <v>163</v>
      </c>
      <c r="H9" s="213"/>
      <c r="I9" s="213"/>
      <c r="J9" s="605"/>
      <c r="K9" s="214"/>
      <c r="L9" s="214"/>
      <c r="M9" s="610"/>
      <c r="N9" s="214"/>
      <c r="O9" s="214"/>
      <c r="P9" s="215"/>
      <c r="Q9" s="193"/>
      <c r="R9" s="193"/>
      <c r="S9" s="193"/>
      <c r="T9" s="193"/>
      <c r="U9" s="193"/>
      <c r="V9" s="193"/>
      <c r="W9" s="198"/>
    </row>
    <row r="10" spans="1:23">
      <c r="A10" s="622" t="s">
        <v>243</v>
      </c>
      <c r="B10" s="618"/>
      <c r="C10" s="451" t="s">
        <v>34</v>
      </c>
      <c r="D10" s="193" t="s">
        <v>28</v>
      </c>
      <c r="E10" s="193" t="s">
        <v>29</v>
      </c>
      <c r="F10" s="193" t="s">
        <v>30</v>
      </c>
      <c r="G10" s="238" t="s">
        <v>35</v>
      </c>
      <c r="H10" s="216"/>
      <c r="I10" s="216"/>
      <c r="J10" s="606"/>
      <c r="K10" s="202"/>
      <c r="L10" s="202"/>
      <c r="M10" s="603"/>
      <c r="N10" s="447"/>
      <c r="O10" s="447"/>
      <c r="P10" s="449"/>
      <c r="Q10" s="193"/>
      <c r="R10" s="193"/>
      <c r="S10" s="193"/>
      <c r="T10" s="193"/>
      <c r="U10" s="193"/>
      <c r="V10" s="193"/>
      <c r="W10" s="198"/>
    </row>
    <row r="11" spans="1:23">
      <c r="A11" s="623" t="s">
        <v>244</v>
      </c>
      <c r="B11" s="618"/>
      <c r="C11" s="218" t="s">
        <v>34</v>
      </c>
      <c r="D11" s="193" t="s">
        <v>32</v>
      </c>
      <c r="E11" s="193" t="s">
        <v>30</v>
      </c>
      <c r="F11" s="193" t="s">
        <v>29</v>
      </c>
      <c r="G11" s="221" t="s">
        <v>35</v>
      </c>
      <c r="H11" s="447"/>
      <c r="I11" s="447"/>
      <c r="J11" s="607"/>
      <c r="K11" s="447"/>
      <c r="L11" s="447"/>
      <c r="M11" s="607"/>
      <c r="N11" s="216"/>
      <c r="O11" s="216"/>
      <c r="P11" s="217"/>
      <c r="Q11" s="193"/>
      <c r="R11" s="193"/>
      <c r="S11" s="193"/>
      <c r="T11" s="193"/>
      <c r="U11" s="193"/>
      <c r="V11" s="193"/>
      <c r="W11" s="198"/>
    </row>
    <row r="12" spans="1:23">
      <c r="A12" s="617"/>
      <c r="B12" s="618"/>
      <c r="C12" s="218" t="s">
        <v>34</v>
      </c>
      <c r="D12" s="193" t="s">
        <v>28</v>
      </c>
      <c r="E12" s="193" t="s">
        <v>29</v>
      </c>
      <c r="F12" s="193" t="s">
        <v>33</v>
      </c>
      <c r="G12" s="221" t="s">
        <v>35</v>
      </c>
      <c r="H12" s="447"/>
      <c r="I12" s="447"/>
      <c r="J12" s="607"/>
      <c r="K12" s="216"/>
      <c r="L12" s="216"/>
      <c r="M12" s="606"/>
      <c r="N12" s="216"/>
      <c r="O12" s="216"/>
      <c r="P12" s="217"/>
      <c r="Q12" s="193"/>
      <c r="R12" s="193"/>
      <c r="S12" s="193"/>
      <c r="T12" s="193"/>
      <c r="U12" s="193"/>
      <c r="V12" s="193"/>
      <c r="W12" s="198"/>
    </row>
    <row r="13" spans="1:23" ht="14.4" thickBot="1">
      <c r="A13" s="619"/>
      <c r="B13" s="620"/>
      <c r="C13" s="239" t="s">
        <v>34</v>
      </c>
      <c r="D13" s="194" t="s">
        <v>32</v>
      </c>
      <c r="E13" s="194" t="s">
        <v>33</v>
      </c>
      <c r="F13" s="194" t="s">
        <v>29</v>
      </c>
      <c r="G13" s="212" t="s">
        <v>35</v>
      </c>
      <c r="H13" s="448"/>
      <c r="I13" s="448"/>
      <c r="J13" s="608"/>
      <c r="K13" s="214"/>
      <c r="L13" s="214"/>
      <c r="M13" s="610"/>
      <c r="N13" s="214"/>
      <c r="O13" s="214"/>
      <c r="P13" s="215"/>
      <c r="Q13" s="193"/>
      <c r="R13" s="193"/>
      <c r="S13" s="193"/>
      <c r="T13" s="193"/>
      <c r="U13" s="193"/>
      <c r="V13" s="193"/>
      <c r="W13" s="198"/>
    </row>
    <row r="14" spans="1:23">
      <c r="A14" s="218"/>
      <c r="B14" s="193"/>
      <c r="C14" s="193"/>
      <c r="D14" s="193"/>
      <c r="E14" s="193"/>
      <c r="F14" s="193"/>
      <c r="G14" s="193"/>
      <c r="H14" s="193"/>
      <c r="I14" s="193"/>
      <c r="J14" s="193"/>
      <c r="K14" s="193"/>
      <c r="L14" s="193"/>
      <c r="M14" s="193"/>
      <c r="N14" s="193"/>
      <c r="O14" s="193"/>
      <c r="P14" s="193"/>
      <c r="Q14" s="193"/>
      <c r="R14" s="193"/>
      <c r="S14" s="287"/>
      <c r="T14" s="287"/>
      <c r="U14" s="287"/>
      <c r="W14" s="198"/>
    </row>
    <row r="15" spans="1:23" ht="14.4" thickBot="1">
      <c r="A15" s="194"/>
      <c r="B15" s="219"/>
      <c r="C15" s="220"/>
      <c r="D15" s="220"/>
      <c r="E15" s="220"/>
      <c r="F15" s="220"/>
      <c r="G15" s="220"/>
      <c r="H15" s="193"/>
      <c r="I15" s="193"/>
      <c r="J15" s="193"/>
      <c r="K15" s="193"/>
      <c r="L15" s="193"/>
      <c r="M15" s="193"/>
      <c r="N15" s="193"/>
      <c r="O15" s="193"/>
      <c r="P15" s="193"/>
      <c r="Q15" s="193"/>
      <c r="R15" s="193"/>
      <c r="S15" s="194" t="s">
        <v>158</v>
      </c>
      <c r="T15" s="194"/>
      <c r="U15" s="194"/>
      <c r="V15" s="193"/>
      <c r="W15" s="198"/>
    </row>
    <row r="16" spans="1:23">
      <c r="A16" s="625"/>
      <c r="B16" s="626"/>
      <c r="C16" s="222" t="s">
        <v>132</v>
      </c>
      <c r="D16" s="223"/>
      <c r="E16" s="223"/>
      <c r="F16" s="223"/>
      <c r="G16" s="223"/>
      <c r="H16" s="224"/>
      <c r="I16" s="225"/>
      <c r="J16" s="226"/>
      <c r="K16" s="227"/>
      <c r="L16" s="228"/>
      <c r="M16" s="228"/>
      <c r="N16" s="224"/>
      <c r="O16" s="225"/>
      <c r="P16" s="229"/>
      <c r="Q16" s="193"/>
      <c r="R16" s="198"/>
      <c r="S16" s="193" t="s">
        <v>28</v>
      </c>
      <c r="T16" s="193" t="s">
        <v>29</v>
      </c>
      <c r="U16" s="221" t="s">
        <v>30</v>
      </c>
      <c r="V16" s="393"/>
      <c r="W16" s="198"/>
    </row>
    <row r="17" spans="1:44" ht="14.4" thickBot="1">
      <c r="A17" s="625"/>
      <c r="B17" s="626"/>
      <c r="C17" s="230" t="s">
        <v>133</v>
      </c>
      <c r="D17" s="231"/>
      <c r="E17" s="231"/>
      <c r="F17" s="231"/>
      <c r="G17" s="231"/>
      <c r="H17" s="232"/>
      <c r="I17" s="233"/>
      <c r="J17" s="234"/>
      <c r="K17" s="232"/>
      <c r="L17" s="233"/>
      <c r="M17" s="234"/>
      <c r="N17" s="235"/>
      <c r="O17" s="236"/>
      <c r="P17" s="237"/>
      <c r="Q17" s="193"/>
      <c r="R17" s="198"/>
      <c r="S17" s="193" t="s">
        <v>32</v>
      </c>
      <c r="T17" s="193" t="s">
        <v>30</v>
      </c>
      <c r="U17" s="221" t="s">
        <v>29</v>
      </c>
      <c r="V17" s="394"/>
      <c r="W17" s="198"/>
    </row>
    <row r="18" spans="1:44">
      <c r="A18" s="625"/>
      <c r="B18" s="626"/>
      <c r="C18" s="193" t="s">
        <v>36</v>
      </c>
      <c r="D18" s="193" t="s">
        <v>28</v>
      </c>
      <c r="E18" s="193" t="s">
        <v>29</v>
      </c>
      <c r="F18" s="193" t="s">
        <v>30</v>
      </c>
      <c r="G18" s="193" t="s">
        <v>31</v>
      </c>
      <c r="H18" s="480"/>
      <c r="I18" s="481"/>
      <c r="J18" s="482"/>
      <c r="K18" s="481"/>
      <c r="L18" s="481"/>
      <c r="M18" s="482"/>
      <c r="N18" s="473">
        <f>1-(1-N16*$V16)^((N$5*N6)*(1-N10))</f>
        <v>0</v>
      </c>
      <c r="O18" s="474">
        <f>1-(1-O16*$V16)^((O$5*O6)*(1-O10))</f>
        <v>0</v>
      </c>
      <c r="P18" s="475">
        <f>1-(1-P16*$V16)^((P$5*P6)*(1-P10))</f>
        <v>0</v>
      </c>
      <c r="Q18" s="193"/>
      <c r="R18" s="198"/>
      <c r="S18" s="193" t="s">
        <v>28</v>
      </c>
      <c r="T18" s="193" t="s">
        <v>29</v>
      </c>
      <c r="U18" s="221" t="s">
        <v>33</v>
      </c>
      <c r="V18" s="394"/>
      <c r="W18" s="198"/>
      <c r="AJ18" s="466"/>
      <c r="AK18" s="466"/>
      <c r="AL18" s="466"/>
      <c r="AM18" s="466"/>
      <c r="AN18" s="466"/>
      <c r="AO18" s="466"/>
      <c r="AP18" s="466"/>
      <c r="AQ18" s="466"/>
      <c r="AR18" s="466"/>
    </row>
    <row r="19" spans="1:44" ht="14.4" thickBot="1">
      <c r="A19" s="625"/>
      <c r="B19" s="626"/>
      <c r="C19" s="193" t="s">
        <v>36</v>
      </c>
      <c r="D19" s="193" t="s">
        <v>32</v>
      </c>
      <c r="E19" s="193" t="s">
        <v>30</v>
      </c>
      <c r="F19" s="193" t="s">
        <v>29</v>
      </c>
      <c r="G19" s="193" t="s">
        <v>31</v>
      </c>
      <c r="H19" s="467">
        <f t="shared" ref="H19:M19" si="0">1-(1-H17*$V17)^((H$5*H7)*(1-H11))</f>
        <v>0</v>
      </c>
      <c r="I19" s="468">
        <f t="shared" si="0"/>
        <v>0</v>
      </c>
      <c r="J19" s="469">
        <f t="shared" si="0"/>
        <v>0</v>
      </c>
      <c r="K19" s="468">
        <f t="shared" si="0"/>
        <v>0</v>
      </c>
      <c r="L19" s="468">
        <f t="shared" si="0"/>
        <v>0</v>
      </c>
      <c r="M19" s="469">
        <f t="shared" si="0"/>
        <v>0</v>
      </c>
      <c r="N19" s="330"/>
      <c r="O19" s="327"/>
      <c r="P19" s="476"/>
      <c r="Q19" s="193"/>
      <c r="R19" s="193"/>
      <c r="S19" s="239" t="s">
        <v>32</v>
      </c>
      <c r="T19" s="194" t="s">
        <v>33</v>
      </c>
      <c r="U19" s="212" t="s">
        <v>29</v>
      </c>
      <c r="V19" s="395"/>
      <c r="W19" s="198"/>
      <c r="AJ19" s="466"/>
      <c r="AK19" s="466"/>
      <c r="AL19" s="466"/>
      <c r="AM19" s="466"/>
      <c r="AN19" s="466"/>
      <c r="AO19" s="466"/>
      <c r="AP19" s="466"/>
      <c r="AQ19" s="466"/>
      <c r="AR19" s="466"/>
    </row>
    <row r="20" spans="1:44">
      <c r="A20" s="625"/>
      <c r="B20" s="626"/>
      <c r="C20" s="193" t="s">
        <v>36</v>
      </c>
      <c r="D20" s="193" t="s">
        <v>28</v>
      </c>
      <c r="E20" s="193" t="s">
        <v>29</v>
      </c>
      <c r="F20" s="193" t="s">
        <v>33</v>
      </c>
      <c r="G20" s="193" t="s">
        <v>31</v>
      </c>
      <c r="H20" s="467">
        <f>1-(1-H16*$V18)^((H$5*H8)*(1-H12))</f>
        <v>0</v>
      </c>
      <c r="I20" s="468">
        <f>1-(1-I16*$V18)^((I$5*I8)*(1-I12))</f>
        <v>0</v>
      </c>
      <c r="J20" s="469">
        <f>1-(1-J16*$V18)^((J$5*J8)*(1-J12))</f>
        <v>0</v>
      </c>
      <c r="K20" s="327"/>
      <c r="L20" s="327"/>
      <c r="M20" s="327"/>
      <c r="N20" s="330"/>
      <c r="O20" s="327"/>
      <c r="P20" s="476"/>
      <c r="Q20" s="193"/>
      <c r="R20" s="193"/>
      <c r="S20" s="193"/>
      <c r="T20" s="193"/>
      <c r="U20" s="193"/>
      <c r="V20" s="396"/>
      <c r="W20" s="198"/>
      <c r="AJ20" s="466"/>
      <c r="AK20" s="466"/>
      <c r="AL20" s="466"/>
      <c r="AM20" s="466"/>
      <c r="AN20" s="466"/>
      <c r="AO20" s="466"/>
      <c r="AP20" s="466"/>
      <c r="AQ20" s="466"/>
      <c r="AR20" s="466"/>
    </row>
    <row r="21" spans="1:44" ht="14.4" thickBot="1">
      <c r="A21" s="629" t="s">
        <v>42</v>
      </c>
      <c r="B21" s="626"/>
      <c r="C21" s="194" t="s">
        <v>36</v>
      </c>
      <c r="D21" s="194" t="s">
        <v>32</v>
      </c>
      <c r="E21" s="194" t="s">
        <v>33</v>
      </c>
      <c r="F21" s="194" t="s">
        <v>29</v>
      </c>
      <c r="G21" s="194" t="s">
        <v>31</v>
      </c>
      <c r="H21" s="246">
        <f>1-(1-H16*$V19)^((H$5*H9)*(1-H13))</f>
        <v>0</v>
      </c>
      <c r="I21" s="247">
        <f>1-(1-I16*$V19)^((I$5*I9)*(1-I13))</f>
        <v>0</v>
      </c>
      <c r="J21" s="271">
        <f>1-(1-J16*$V19)^((J$5*J9)*(1-J13))</f>
        <v>0</v>
      </c>
      <c r="K21" s="478"/>
      <c r="L21" s="478"/>
      <c r="M21" s="478"/>
      <c r="N21" s="477"/>
      <c r="O21" s="478"/>
      <c r="P21" s="479"/>
      <c r="Q21" s="193"/>
      <c r="R21" s="193"/>
      <c r="S21" s="193"/>
      <c r="T21" s="193"/>
      <c r="U21" s="193"/>
      <c r="V21" s="396"/>
      <c r="W21" s="198"/>
      <c r="AJ21" s="466"/>
      <c r="AK21" s="466"/>
      <c r="AL21" s="466"/>
      <c r="AM21" s="466"/>
      <c r="AN21" s="466"/>
      <c r="AO21" s="466"/>
      <c r="AP21" s="466"/>
      <c r="AQ21" s="466"/>
      <c r="AR21" s="466"/>
    </row>
    <row r="22" spans="1:44" ht="14.4" thickBot="1">
      <c r="A22" s="625"/>
      <c r="B22" s="626"/>
      <c r="C22" s="194" t="s">
        <v>37</v>
      </c>
      <c r="D22" s="194"/>
      <c r="E22" s="194"/>
      <c r="F22" s="194"/>
      <c r="G22" s="194"/>
      <c r="H22" s="243">
        <f t="shared" ref="H22:M22" si="1">SUM(H19:H21)</f>
        <v>0</v>
      </c>
      <c r="I22" s="244">
        <f t="shared" si="1"/>
        <v>0</v>
      </c>
      <c r="J22" s="245">
        <f>SUM(J19:J21)</f>
        <v>0</v>
      </c>
      <c r="K22" s="246">
        <f t="shared" si="1"/>
        <v>0</v>
      </c>
      <c r="L22" s="247">
        <f t="shared" si="1"/>
        <v>0</v>
      </c>
      <c r="M22" s="247">
        <f t="shared" si="1"/>
        <v>0</v>
      </c>
      <c r="N22" s="246">
        <f t="shared" ref="N22:P22" si="2">SUM(N18:N21)</f>
        <v>0</v>
      </c>
      <c r="O22" s="247">
        <f t="shared" si="2"/>
        <v>0</v>
      </c>
      <c r="P22" s="248">
        <f t="shared" si="2"/>
        <v>0</v>
      </c>
      <c r="Q22" s="193"/>
      <c r="R22" s="193"/>
      <c r="S22" s="193"/>
      <c r="T22" s="193"/>
      <c r="U22" s="193"/>
      <c r="V22" s="396"/>
      <c r="W22" s="198"/>
    </row>
    <row r="23" spans="1:44">
      <c r="A23" s="625"/>
      <c r="B23" s="626"/>
      <c r="C23" s="195" t="s">
        <v>135</v>
      </c>
      <c r="D23" s="195"/>
      <c r="E23" s="195"/>
      <c r="F23" s="195"/>
      <c r="G23" s="238"/>
      <c r="H23" s="249"/>
      <c r="I23" s="250"/>
      <c r="J23" s="251"/>
      <c r="K23" s="249"/>
      <c r="L23" s="250"/>
      <c r="M23" s="251"/>
      <c r="N23" s="249"/>
      <c r="O23" s="250"/>
      <c r="P23" s="252"/>
      <c r="Q23" s="193"/>
      <c r="R23" s="193"/>
      <c r="S23" s="193"/>
      <c r="T23" s="193"/>
      <c r="U23" s="193"/>
      <c r="V23" s="396"/>
      <c r="W23" s="198"/>
    </row>
    <row r="24" spans="1:44">
      <c r="A24" s="625"/>
      <c r="B24" s="626"/>
      <c r="C24" s="193" t="s">
        <v>136</v>
      </c>
      <c r="D24" s="193"/>
      <c r="E24" s="193"/>
      <c r="F24" s="193"/>
      <c r="G24" s="221"/>
      <c r="H24" s="253">
        <f>H22*H$4*(1-H23)</f>
        <v>0</v>
      </c>
      <c r="I24" s="253">
        <f>I22*I$4*(1-I23)</f>
        <v>0</v>
      </c>
      <c r="J24" s="254">
        <f>J22*J$4*(1-J23)</f>
        <v>0</v>
      </c>
      <c r="K24" s="255">
        <f>K22*K$4*(1-K23)</f>
        <v>0</v>
      </c>
      <c r="L24" s="253">
        <f t="shared" ref="L24:P24" si="3">L22*L$4*(1-L23)</f>
        <v>0</v>
      </c>
      <c r="M24" s="254">
        <f t="shared" si="3"/>
        <v>0</v>
      </c>
      <c r="N24" s="255">
        <f t="shared" si="3"/>
        <v>0</v>
      </c>
      <c r="O24" s="253">
        <f t="shared" si="3"/>
        <v>0</v>
      </c>
      <c r="P24" s="256">
        <f t="shared" si="3"/>
        <v>0</v>
      </c>
      <c r="Q24" s="193"/>
      <c r="R24" s="193"/>
      <c r="S24" s="193"/>
      <c r="T24" s="193"/>
      <c r="U24" s="193"/>
      <c r="V24" s="396"/>
      <c r="W24" s="198"/>
    </row>
    <row r="25" spans="1:44">
      <c r="A25" s="625"/>
      <c r="B25" s="626"/>
      <c r="C25" s="193" t="s">
        <v>38</v>
      </c>
      <c r="D25" s="193"/>
      <c r="E25" s="193"/>
      <c r="F25" s="193"/>
      <c r="G25" s="221"/>
      <c r="H25" s="443"/>
      <c r="I25" s="444"/>
      <c r="J25" s="445"/>
      <c r="K25" s="443"/>
      <c r="L25" s="444"/>
      <c r="M25" s="445"/>
      <c r="N25" s="443"/>
      <c r="O25" s="444"/>
      <c r="P25" s="446"/>
      <c r="Q25" s="193"/>
      <c r="R25" s="193"/>
      <c r="S25" s="193"/>
      <c r="T25" s="193"/>
      <c r="U25" s="193"/>
      <c r="V25" s="396"/>
      <c r="W25" s="198"/>
    </row>
    <row r="26" spans="1:44" ht="14.4" thickBot="1">
      <c r="A26" s="627"/>
      <c r="B26" s="628"/>
      <c r="C26" s="194" t="s">
        <v>137</v>
      </c>
      <c r="D26" s="194"/>
      <c r="E26" s="194"/>
      <c r="F26" s="194"/>
      <c r="G26" s="212"/>
      <c r="H26" s="257">
        <f>H24*H25</f>
        <v>0</v>
      </c>
      <c r="I26" s="258">
        <f t="shared" ref="I26:P26" si="4">I24*I25</f>
        <v>0</v>
      </c>
      <c r="J26" s="259">
        <f t="shared" si="4"/>
        <v>0</v>
      </c>
      <c r="K26" s="257">
        <f t="shared" si="4"/>
        <v>0</v>
      </c>
      <c r="L26" s="258">
        <f t="shared" si="4"/>
        <v>0</v>
      </c>
      <c r="M26" s="259">
        <f t="shared" si="4"/>
        <v>0</v>
      </c>
      <c r="N26" s="257">
        <f t="shared" si="4"/>
        <v>0</v>
      </c>
      <c r="O26" s="258">
        <f t="shared" si="4"/>
        <v>0</v>
      </c>
      <c r="P26" s="260">
        <f t="shared" si="4"/>
        <v>0</v>
      </c>
      <c r="Q26" s="193"/>
      <c r="R26" s="193"/>
      <c r="S26" s="193"/>
      <c r="T26" s="193"/>
      <c r="U26" s="193"/>
      <c r="V26" s="396"/>
      <c r="W26" s="198"/>
    </row>
    <row r="27" spans="1:44">
      <c r="A27" s="218"/>
      <c r="B27" s="193"/>
      <c r="C27" s="195"/>
      <c r="D27" s="193"/>
      <c r="E27" s="193"/>
      <c r="F27" s="193"/>
      <c r="G27" s="193"/>
      <c r="H27" s="193"/>
      <c r="I27" s="193"/>
      <c r="J27" s="193"/>
      <c r="K27" s="193"/>
      <c r="L27" s="193"/>
      <c r="M27" s="193"/>
      <c r="N27" s="193"/>
      <c r="O27" s="193"/>
      <c r="P27" s="193"/>
      <c r="Q27" s="193"/>
      <c r="R27" s="193"/>
      <c r="S27" s="193"/>
      <c r="T27" s="193"/>
      <c r="U27" s="193"/>
      <c r="V27" s="396"/>
      <c r="W27" s="198"/>
    </row>
    <row r="28" spans="1:44">
      <c r="A28" s="218"/>
      <c r="B28" s="193"/>
      <c r="C28" s="193"/>
      <c r="D28" s="193"/>
      <c r="E28" s="193"/>
      <c r="F28" s="193"/>
      <c r="G28" s="193"/>
      <c r="H28" s="193"/>
      <c r="I28" s="193"/>
      <c r="J28" s="193"/>
      <c r="K28" s="193"/>
      <c r="L28" s="193"/>
      <c r="M28" s="193"/>
      <c r="N28" s="193"/>
      <c r="O28" s="193"/>
      <c r="P28" s="193"/>
      <c r="Q28" s="193"/>
      <c r="R28" s="193"/>
      <c r="S28" s="287"/>
      <c r="T28" s="287"/>
      <c r="U28" s="287"/>
      <c r="W28" s="198"/>
    </row>
    <row r="29" spans="1:44" ht="14.4" thickBot="1">
      <c r="A29" s="194"/>
      <c r="B29" s="219"/>
      <c r="C29" s="194"/>
      <c r="D29" s="194"/>
      <c r="E29" s="194"/>
      <c r="F29" s="194"/>
      <c r="G29" s="194"/>
      <c r="H29" s="194"/>
      <c r="I29" s="194"/>
      <c r="J29" s="194"/>
      <c r="K29" s="194"/>
      <c r="L29" s="194"/>
      <c r="M29" s="194"/>
      <c r="N29" s="194"/>
      <c r="O29" s="194"/>
      <c r="P29" s="194"/>
      <c r="Q29" s="193"/>
      <c r="R29" s="193"/>
      <c r="S29" s="194" t="s">
        <v>158</v>
      </c>
      <c r="T29" s="194"/>
      <c r="U29" s="194"/>
      <c r="V29" s="193"/>
      <c r="W29" s="198"/>
    </row>
    <row r="30" spans="1:44">
      <c r="A30" s="625"/>
      <c r="B30" s="626"/>
      <c r="C30" s="222" t="s">
        <v>132</v>
      </c>
      <c r="D30" s="220"/>
      <c r="E30" s="220"/>
      <c r="F30" s="220"/>
      <c r="G30" s="220"/>
      <c r="H30" s="261"/>
      <c r="I30" s="262"/>
      <c r="J30" s="262"/>
      <c r="K30" s="263"/>
      <c r="L30" s="264"/>
      <c r="M30" s="264"/>
      <c r="N30" s="261"/>
      <c r="O30" s="262"/>
      <c r="P30" s="265"/>
      <c r="Q30" s="193"/>
      <c r="R30" s="198"/>
      <c r="S30" s="193" t="s">
        <v>28</v>
      </c>
      <c r="T30" s="193" t="s">
        <v>29</v>
      </c>
      <c r="U30" s="221" t="s">
        <v>30</v>
      </c>
      <c r="V30" s="393"/>
      <c r="W30" s="198"/>
    </row>
    <row r="31" spans="1:44" ht="14.4" thickBot="1">
      <c r="A31" s="625"/>
      <c r="B31" s="626"/>
      <c r="C31" s="230" t="s">
        <v>133</v>
      </c>
      <c r="D31" s="231"/>
      <c r="E31" s="231"/>
      <c r="F31" s="231"/>
      <c r="G31" s="266"/>
      <c r="H31" s="261"/>
      <c r="I31" s="262"/>
      <c r="J31" s="262"/>
      <c r="K31" s="261"/>
      <c r="L31" s="262"/>
      <c r="M31" s="262"/>
      <c r="N31" s="263"/>
      <c r="O31" s="264"/>
      <c r="P31" s="267"/>
      <c r="Q31" s="193"/>
      <c r="R31" s="198"/>
      <c r="S31" s="193" t="s">
        <v>32</v>
      </c>
      <c r="T31" s="193" t="s">
        <v>30</v>
      </c>
      <c r="U31" s="221" t="s">
        <v>29</v>
      </c>
      <c r="V31" s="394"/>
      <c r="W31" s="198"/>
    </row>
    <row r="32" spans="1:44">
      <c r="A32" s="625"/>
      <c r="B32" s="626"/>
      <c r="C32" s="193" t="s">
        <v>36</v>
      </c>
      <c r="D32" s="193" t="s">
        <v>28</v>
      </c>
      <c r="E32" s="193" t="s">
        <v>29</v>
      </c>
      <c r="F32" s="193" t="s">
        <v>30</v>
      </c>
      <c r="G32" s="193" t="s">
        <v>31</v>
      </c>
      <c r="H32" s="470"/>
      <c r="I32" s="471"/>
      <c r="J32" s="472"/>
      <c r="K32" s="470"/>
      <c r="L32" s="471"/>
      <c r="M32" s="471"/>
      <c r="N32" s="473">
        <f>1-(1-N30*$V30)^((N$5*N6)*(1-N10))</f>
        <v>0</v>
      </c>
      <c r="O32" s="474">
        <f>1-(1-O30*$V30)^((O$5*O6)*(1-O10))</f>
        <v>0</v>
      </c>
      <c r="P32" s="475">
        <f>1-(1-P30*$V30)^((P$5*P6)*(1-P10))</f>
        <v>0</v>
      </c>
      <c r="Q32" s="193"/>
      <c r="R32" s="198"/>
      <c r="S32" s="193" t="s">
        <v>28</v>
      </c>
      <c r="T32" s="193" t="s">
        <v>29</v>
      </c>
      <c r="U32" s="221" t="s">
        <v>33</v>
      </c>
      <c r="V32" s="394"/>
      <c r="W32" s="198"/>
      <c r="AJ32" s="466"/>
      <c r="AK32" s="466"/>
      <c r="AL32" s="466"/>
      <c r="AM32" s="466"/>
      <c r="AN32" s="466"/>
      <c r="AO32" s="466"/>
      <c r="AP32" s="466"/>
      <c r="AQ32" s="466"/>
      <c r="AR32" s="466"/>
    </row>
    <row r="33" spans="1:44" ht="14.4" thickBot="1">
      <c r="A33" s="625"/>
      <c r="B33" s="626"/>
      <c r="C33" s="193" t="s">
        <v>36</v>
      </c>
      <c r="D33" s="193" t="s">
        <v>32</v>
      </c>
      <c r="E33" s="193" t="s">
        <v>30</v>
      </c>
      <c r="F33" s="193" t="s">
        <v>29</v>
      </c>
      <c r="G33" s="193" t="s">
        <v>31</v>
      </c>
      <c r="H33" s="467">
        <f>1-(1-H31*$V31)^((H$5*H7)*(1-H11))</f>
        <v>0</v>
      </c>
      <c r="I33" s="468">
        <f t="shared" ref="I33:M33" si="5">1-(1-I31*$V31)^((I$5*I7)*(1-I11))</f>
        <v>0</v>
      </c>
      <c r="J33" s="469">
        <f t="shared" si="5"/>
        <v>0</v>
      </c>
      <c r="K33" s="467">
        <f t="shared" si="5"/>
        <v>0</v>
      </c>
      <c r="L33" s="468">
        <f t="shared" si="5"/>
        <v>0</v>
      </c>
      <c r="M33" s="469">
        <f t="shared" si="5"/>
        <v>0</v>
      </c>
      <c r="N33" s="330"/>
      <c r="O33" s="327"/>
      <c r="P33" s="476"/>
      <c r="Q33" s="193"/>
      <c r="R33" s="193"/>
      <c r="S33" s="239" t="s">
        <v>32</v>
      </c>
      <c r="T33" s="194" t="s">
        <v>33</v>
      </c>
      <c r="U33" s="212" t="s">
        <v>29</v>
      </c>
      <c r="V33" s="395"/>
      <c r="W33" s="198"/>
      <c r="AJ33" s="466"/>
      <c r="AK33" s="466"/>
      <c r="AL33" s="466"/>
      <c r="AM33" s="466"/>
      <c r="AN33" s="466"/>
      <c r="AO33" s="466"/>
      <c r="AP33" s="466"/>
      <c r="AQ33" s="466"/>
      <c r="AR33" s="466"/>
    </row>
    <row r="34" spans="1:44">
      <c r="A34" s="625"/>
      <c r="B34" s="626"/>
      <c r="C34" s="193" t="s">
        <v>36</v>
      </c>
      <c r="D34" s="193" t="s">
        <v>28</v>
      </c>
      <c r="E34" s="193" t="s">
        <v>29</v>
      </c>
      <c r="F34" s="193" t="s">
        <v>33</v>
      </c>
      <c r="G34" s="193" t="s">
        <v>31</v>
      </c>
      <c r="H34" s="467">
        <f>1-(1-H30*$V32)^((H$5*H8)*(1-H12))</f>
        <v>0</v>
      </c>
      <c r="I34" s="468">
        <f>1-(1-I30*$V32)^((I$5*I8)*(1-I12))</f>
        <v>0</v>
      </c>
      <c r="J34" s="469">
        <f>1-(1-J30*$V32)^((J$5*J8)*(1-J12))</f>
        <v>0</v>
      </c>
      <c r="K34" s="330"/>
      <c r="L34" s="327"/>
      <c r="M34" s="327"/>
      <c r="N34" s="330"/>
      <c r="O34" s="327"/>
      <c r="P34" s="476"/>
      <c r="Q34" s="193"/>
      <c r="R34" s="193"/>
      <c r="S34" s="193"/>
      <c r="T34" s="193"/>
      <c r="U34" s="193"/>
      <c r="V34" s="396"/>
      <c r="W34" s="198"/>
      <c r="AJ34" s="466"/>
      <c r="AK34" s="466"/>
      <c r="AL34" s="466"/>
      <c r="AM34" s="466"/>
      <c r="AN34" s="466"/>
      <c r="AO34" s="466"/>
      <c r="AP34" s="466"/>
      <c r="AQ34" s="466"/>
      <c r="AR34" s="466"/>
    </row>
    <row r="35" spans="1:44" ht="14.4" thickBot="1">
      <c r="A35" s="625" t="s">
        <v>43</v>
      </c>
      <c r="B35" s="626"/>
      <c r="C35" s="194" t="s">
        <v>36</v>
      </c>
      <c r="D35" s="194" t="s">
        <v>32</v>
      </c>
      <c r="E35" s="194" t="s">
        <v>33</v>
      </c>
      <c r="F35" s="194" t="s">
        <v>29</v>
      </c>
      <c r="G35" s="212" t="s">
        <v>31</v>
      </c>
      <c r="H35" s="246">
        <f>1-(1-H30*$V33)^((H$5*H9)*(1-H13))</f>
        <v>0</v>
      </c>
      <c r="I35" s="247">
        <f>1-(1-I30*$V33)^((I$5*I9)*(1-I13))</f>
        <v>0</v>
      </c>
      <c r="J35" s="271">
        <f>1-(1-J30*$V33)^((J$5*J9)*(1-J13))</f>
        <v>0</v>
      </c>
      <c r="K35" s="477"/>
      <c r="L35" s="478"/>
      <c r="M35" s="478"/>
      <c r="N35" s="477"/>
      <c r="O35" s="478"/>
      <c r="P35" s="479"/>
      <c r="Q35" s="193"/>
      <c r="R35" s="193"/>
      <c r="S35" s="193"/>
      <c r="T35" s="193"/>
      <c r="U35" s="193"/>
      <c r="V35" s="396"/>
      <c r="W35" s="198"/>
      <c r="AJ35" s="466"/>
      <c r="AK35" s="466"/>
      <c r="AL35" s="466"/>
      <c r="AM35" s="466"/>
      <c r="AN35" s="466"/>
      <c r="AO35" s="466"/>
      <c r="AP35" s="466"/>
      <c r="AQ35" s="466"/>
      <c r="AR35" s="466"/>
    </row>
    <row r="36" spans="1:44" ht="14.4" thickBot="1">
      <c r="A36" s="625"/>
      <c r="B36" s="626"/>
      <c r="C36" s="194" t="s">
        <v>37</v>
      </c>
      <c r="D36" s="194"/>
      <c r="E36" s="194"/>
      <c r="F36" s="194"/>
      <c r="G36" s="194"/>
      <c r="H36" s="246">
        <f t="shared" ref="H36:P36" si="6">SUM(H32:H35)</f>
        <v>0</v>
      </c>
      <c r="I36" s="247">
        <f t="shared" si="6"/>
        <v>0</v>
      </c>
      <c r="J36" s="271">
        <f t="shared" si="6"/>
        <v>0</v>
      </c>
      <c r="K36" s="246">
        <f t="shared" si="6"/>
        <v>0</v>
      </c>
      <c r="L36" s="247">
        <f t="shared" si="6"/>
        <v>0</v>
      </c>
      <c r="M36" s="247">
        <f t="shared" si="6"/>
        <v>0</v>
      </c>
      <c r="N36" s="246">
        <f>SUM(N32:N35)</f>
        <v>0</v>
      </c>
      <c r="O36" s="247">
        <f t="shared" si="6"/>
        <v>0</v>
      </c>
      <c r="P36" s="272">
        <f t="shared" si="6"/>
        <v>0</v>
      </c>
      <c r="Q36" s="193"/>
      <c r="R36" s="193"/>
      <c r="S36" s="193"/>
      <c r="T36" s="193"/>
      <c r="U36" s="193"/>
      <c r="V36" s="396"/>
      <c r="W36" s="198"/>
    </row>
    <row r="37" spans="1:44">
      <c r="A37" s="625"/>
      <c r="B37" s="626"/>
      <c r="C37" s="195" t="s">
        <v>135</v>
      </c>
      <c r="D37" s="195"/>
      <c r="E37" s="195"/>
      <c r="F37" s="195"/>
      <c r="G37" s="238"/>
      <c r="H37" s="273"/>
      <c r="I37" s="274"/>
      <c r="J37" s="275"/>
      <c r="K37" s="273"/>
      <c r="L37" s="274"/>
      <c r="M37" s="275"/>
      <c r="N37" s="273"/>
      <c r="O37" s="274"/>
      <c r="P37" s="276"/>
      <c r="Q37" s="193"/>
      <c r="R37" s="193"/>
      <c r="S37" s="193"/>
      <c r="T37" s="193"/>
      <c r="U37" s="193"/>
      <c r="V37" s="396"/>
      <c r="W37" s="198"/>
    </row>
    <row r="38" spans="1:44">
      <c r="A38" s="625"/>
      <c r="B38" s="626"/>
      <c r="C38" s="193" t="s">
        <v>136</v>
      </c>
      <c r="D38" s="193"/>
      <c r="E38" s="193"/>
      <c r="F38" s="193"/>
      <c r="G38" s="221"/>
      <c r="H38" s="277">
        <f>H36*H$4*(1-H37)</f>
        <v>0</v>
      </c>
      <c r="I38" s="278">
        <f t="shared" ref="I38:P38" si="7">I36*I$4*(1-I37)</f>
        <v>0</v>
      </c>
      <c r="J38" s="279">
        <f t="shared" si="7"/>
        <v>0</v>
      </c>
      <c r="K38" s="277">
        <f t="shared" si="7"/>
        <v>0</v>
      </c>
      <c r="L38" s="278">
        <f t="shared" si="7"/>
        <v>0</v>
      </c>
      <c r="M38" s="279">
        <f t="shared" si="7"/>
        <v>0</v>
      </c>
      <c r="N38" s="277">
        <f t="shared" si="7"/>
        <v>0</v>
      </c>
      <c r="O38" s="278">
        <f t="shared" si="7"/>
        <v>0</v>
      </c>
      <c r="P38" s="280">
        <f t="shared" si="7"/>
        <v>0</v>
      </c>
      <c r="Q38" s="193"/>
      <c r="R38" s="193"/>
      <c r="S38" s="193"/>
      <c r="T38" s="193"/>
      <c r="U38" s="193"/>
      <c r="V38" s="396"/>
      <c r="W38" s="198"/>
    </row>
    <row r="39" spans="1:44">
      <c r="A39" s="625"/>
      <c r="B39" s="626"/>
      <c r="C39" s="193" t="s">
        <v>38</v>
      </c>
      <c r="D39" s="193"/>
      <c r="E39" s="193"/>
      <c r="F39" s="193"/>
      <c r="G39" s="221"/>
      <c r="H39" s="438"/>
      <c r="I39" s="439"/>
      <c r="J39" s="440"/>
      <c r="K39" s="438"/>
      <c r="L39" s="439"/>
      <c r="M39" s="440"/>
      <c r="N39" s="438"/>
      <c r="O39" s="439"/>
      <c r="P39" s="441"/>
      <c r="Q39" s="193"/>
      <c r="R39" s="193"/>
      <c r="S39" s="193"/>
      <c r="T39" s="193"/>
      <c r="U39" s="193"/>
      <c r="V39" s="396"/>
      <c r="W39" s="198"/>
    </row>
    <row r="40" spans="1:44" ht="14.4" thickBot="1">
      <c r="A40" s="627"/>
      <c r="B40" s="628"/>
      <c r="C40" s="194" t="s">
        <v>137</v>
      </c>
      <c r="D40" s="194"/>
      <c r="E40" s="194"/>
      <c r="F40" s="194"/>
      <c r="G40" s="212"/>
      <c r="H40" s="281">
        <f>H38*H39</f>
        <v>0</v>
      </c>
      <c r="I40" s="308">
        <f t="shared" ref="I40:P40" si="8">I38*I39</f>
        <v>0</v>
      </c>
      <c r="J40" s="309">
        <f t="shared" si="8"/>
        <v>0</v>
      </c>
      <c r="K40" s="308">
        <f t="shared" si="8"/>
        <v>0</v>
      </c>
      <c r="L40" s="308">
        <f t="shared" si="8"/>
        <v>0</v>
      </c>
      <c r="M40" s="309">
        <f t="shared" si="8"/>
        <v>0</v>
      </c>
      <c r="N40" s="308">
        <f t="shared" si="8"/>
        <v>0</v>
      </c>
      <c r="O40" s="308">
        <f t="shared" si="8"/>
        <v>0</v>
      </c>
      <c r="P40" s="310">
        <f t="shared" si="8"/>
        <v>0</v>
      </c>
      <c r="Q40" s="193"/>
      <c r="R40" s="193"/>
      <c r="S40" s="193"/>
      <c r="T40" s="193"/>
      <c r="U40" s="193"/>
      <c r="V40" s="396"/>
      <c r="W40" s="198"/>
    </row>
    <row r="41" spans="1:44">
      <c r="A41" s="218"/>
      <c r="B41" s="193"/>
      <c r="C41" s="195"/>
      <c r="D41" s="193"/>
      <c r="E41" s="193"/>
      <c r="F41" s="193"/>
      <c r="G41" s="193"/>
      <c r="H41" s="193"/>
      <c r="I41" s="193"/>
      <c r="J41" s="193"/>
      <c r="K41" s="193"/>
      <c r="L41" s="193"/>
      <c r="M41" s="193"/>
      <c r="N41" s="193"/>
      <c r="O41" s="193"/>
      <c r="P41" s="193"/>
      <c r="Q41" s="193"/>
      <c r="R41" s="193"/>
      <c r="S41" s="193"/>
      <c r="T41" s="193"/>
      <c r="U41" s="193"/>
      <c r="V41" s="396"/>
      <c r="W41" s="198"/>
    </row>
    <row r="42" spans="1:44" ht="14.4" thickBot="1">
      <c r="A42" s="218"/>
      <c r="B42" s="193"/>
      <c r="C42" s="194"/>
      <c r="D42" s="194"/>
      <c r="E42" s="194"/>
      <c r="F42" s="194"/>
      <c r="G42" s="194"/>
      <c r="H42" s="194"/>
      <c r="I42" s="194"/>
      <c r="J42" s="194"/>
      <c r="K42" s="193"/>
      <c r="L42" s="193"/>
      <c r="M42" s="193"/>
      <c r="N42" s="193"/>
      <c r="O42" s="193"/>
      <c r="P42" s="193"/>
      <c r="Q42" s="193"/>
      <c r="R42" s="193"/>
      <c r="S42" s="193"/>
      <c r="T42" s="193"/>
      <c r="U42" s="193"/>
      <c r="V42" s="397"/>
      <c r="W42" s="198"/>
    </row>
    <row r="43" spans="1:44">
      <c r="A43" s="630"/>
      <c r="B43" s="631"/>
      <c r="C43" s="222" t="s">
        <v>132</v>
      </c>
      <c r="D43" s="220"/>
      <c r="E43" s="220"/>
      <c r="F43" s="220"/>
      <c r="G43" s="220"/>
      <c r="H43" s="232"/>
      <c r="I43" s="233"/>
      <c r="J43" s="233"/>
      <c r="K43" s="235"/>
      <c r="L43" s="236"/>
      <c r="M43" s="236"/>
      <c r="N43" s="324"/>
      <c r="O43" s="324"/>
      <c r="P43" s="324"/>
      <c r="Q43" s="193"/>
      <c r="R43" s="193"/>
      <c r="S43" s="193"/>
      <c r="T43" s="193"/>
      <c r="U43" s="193"/>
      <c r="V43" s="285"/>
      <c r="W43" s="198"/>
    </row>
    <row r="44" spans="1:44" ht="14.4" thickBot="1">
      <c r="A44" s="625"/>
      <c r="B44" s="626"/>
      <c r="C44" s="230" t="s">
        <v>133</v>
      </c>
      <c r="D44" s="231"/>
      <c r="E44" s="231"/>
      <c r="F44" s="231"/>
      <c r="G44" s="266"/>
      <c r="H44" s="232"/>
      <c r="I44" s="233"/>
      <c r="J44" s="233"/>
      <c r="K44" s="323"/>
      <c r="L44" s="324"/>
      <c r="M44" s="324"/>
      <c r="N44" s="236"/>
      <c r="O44" s="236"/>
      <c r="P44" s="236"/>
      <c r="Q44" s="193"/>
      <c r="R44" s="193"/>
      <c r="S44" s="194" t="s">
        <v>158</v>
      </c>
      <c r="T44" s="193"/>
      <c r="U44" s="193"/>
      <c r="V44" s="285"/>
      <c r="W44" s="198"/>
    </row>
    <row r="45" spans="1:44">
      <c r="A45" s="625"/>
      <c r="B45" s="626"/>
      <c r="C45" s="193" t="s">
        <v>36</v>
      </c>
      <c r="D45" s="193" t="s">
        <v>28</v>
      </c>
      <c r="E45" s="193" t="s">
        <v>29</v>
      </c>
      <c r="F45" s="193" t="s">
        <v>30</v>
      </c>
      <c r="G45" s="193" t="s">
        <v>31</v>
      </c>
      <c r="H45" s="268"/>
      <c r="I45" s="269"/>
      <c r="J45" s="270"/>
      <c r="K45" s="283"/>
      <c r="L45" s="284"/>
      <c r="M45" s="284"/>
      <c r="N45" s="326"/>
      <c r="O45" s="326"/>
      <c r="P45" s="326"/>
      <c r="Q45" s="193"/>
      <c r="R45" s="198"/>
      <c r="S45" s="195" t="s">
        <v>28</v>
      </c>
      <c r="T45" s="195" t="s">
        <v>29</v>
      </c>
      <c r="U45" s="238" t="s">
        <v>33</v>
      </c>
      <c r="V45" s="345"/>
      <c r="W45" s="198"/>
    </row>
    <row r="46" spans="1:44" ht="14.4" thickBot="1">
      <c r="A46" s="625"/>
      <c r="B46" s="626"/>
      <c r="C46" s="193" t="s">
        <v>36</v>
      </c>
      <c r="D46" s="193" t="s">
        <v>32</v>
      </c>
      <c r="E46" s="193" t="s">
        <v>30</v>
      </c>
      <c r="F46" s="193" t="s">
        <v>29</v>
      </c>
      <c r="G46" s="193" t="s">
        <v>31</v>
      </c>
      <c r="H46" s="325"/>
      <c r="I46" s="326"/>
      <c r="J46" s="346"/>
      <c r="K46" s="325"/>
      <c r="L46" s="326"/>
      <c r="M46" s="326"/>
      <c r="N46" s="193"/>
      <c r="O46" s="193"/>
      <c r="P46" s="193"/>
      <c r="Q46" s="193"/>
      <c r="R46" s="198"/>
      <c r="S46" s="194" t="s">
        <v>32</v>
      </c>
      <c r="T46" s="194" t="s">
        <v>33</v>
      </c>
      <c r="U46" s="212" t="s">
        <v>29</v>
      </c>
      <c r="V46" s="398"/>
      <c r="W46" s="198"/>
    </row>
    <row r="47" spans="1:44">
      <c r="A47" s="625"/>
      <c r="B47" s="626"/>
      <c r="C47" s="193" t="s">
        <v>36</v>
      </c>
      <c r="D47" s="193" t="s">
        <v>28</v>
      </c>
      <c r="E47" s="193" t="s">
        <v>29</v>
      </c>
      <c r="F47" s="193" t="s">
        <v>33</v>
      </c>
      <c r="G47" s="193" t="s">
        <v>31</v>
      </c>
      <c r="H47" s="467">
        <f>1-((1-H43)+H43*((1-$V45)^(H$5*(1-H12))))^H8</f>
        <v>0</v>
      </c>
      <c r="I47" s="468">
        <f>1-((1-I43)+I43*((1-$V45)^(I$5*(1-I12))))^I8</f>
        <v>0</v>
      </c>
      <c r="J47" s="469">
        <f>1-((1-J43)+J43*((1-$V45)^(J$5*(1-J12))))^J8</f>
        <v>0</v>
      </c>
      <c r="K47" s="484"/>
      <c r="L47" s="484"/>
      <c r="M47" s="484"/>
      <c r="N47" s="485"/>
      <c r="O47" s="485"/>
      <c r="P47" s="485"/>
      <c r="Q47" s="485">
        <f>1-M47</f>
        <v>1</v>
      </c>
      <c r="S47" s="193"/>
      <c r="T47" s="193"/>
      <c r="U47" s="193"/>
      <c r="V47" s="282"/>
      <c r="W47" s="198"/>
      <c r="AJ47" s="466"/>
      <c r="AK47" s="466"/>
      <c r="AL47" s="466"/>
    </row>
    <row r="48" spans="1:44" ht="14.4" thickBot="1">
      <c r="A48" s="625" t="s">
        <v>39</v>
      </c>
      <c r="B48" s="626"/>
      <c r="C48" s="241" t="s">
        <v>36</v>
      </c>
      <c r="D48" s="194" t="s">
        <v>32</v>
      </c>
      <c r="E48" s="194" t="s">
        <v>33</v>
      </c>
      <c r="F48" s="194" t="s">
        <v>29</v>
      </c>
      <c r="G48" s="212" t="s">
        <v>31</v>
      </c>
      <c r="H48" s="246">
        <f>1-((1-H43)+H43*((1-$V46)^(H$5*(1-H13))))^H9</f>
        <v>0</v>
      </c>
      <c r="I48" s="247">
        <f>1-((1-I43)+I43*((1-$V46)^(I$5*(1-I13))))^I9</f>
        <v>0</v>
      </c>
      <c r="J48" s="271">
        <f>1-((1-J43)+J43*((1-$V46)^(J$5*(1-J13))))^J9</f>
        <v>0</v>
      </c>
      <c r="K48" s="484"/>
      <c r="L48" s="484"/>
      <c r="M48" s="484"/>
      <c r="N48" s="485"/>
      <c r="O48" s="485"/>
      <c r="P48" s="485"/>
      <c r="Q48" s="485">
        <f>1-M48</f>
        <v>1</v>
      </c>
      <c r="R48" s="193"/>
      <c r="S48" s="193"/>
      <c r="T48" s="193"/>
      <c r="U48" s="193"/>
      <c r="V48" s="193"/>
      <c r="W48" s="198"/>
      <c r="AJ48" s="466"/>
      <c r="AK48" s="466"/>
      <c r="AL48" s="466"/>
    </row>
    <row r="49" spans="1:23" ht="14.4" thickBot="1">
      <c r="A49" s="625"/>
      <c r="B49" s="626"/>
      <c r="C49" s="194" t="s">
        <v>37</v>
      </c>
      <c r="D49" s="194"/>
      <c r="E49" s="194"/>
      <c r="F49" s="194"/>
      <c r="G49" s="194"/>
      <c r="H49" s="246">
        <f t="shared" ref="H49:J49" si="9">SUM(H45:H48)</f>
        <v>0</v>
      </c>
      <c r="I49" s="247">
        <f t="shared" si="9"/>
        <v>0</v>
      </c>
      <c r="J49" s="247">
        <f t="shared" si="9"/>
        <v>0</v>
      </c>
      <c r="K49" s="330"/>
      <c r="L49" s="327"/>
      <c r="M49" s="327"/>
      <c r="N49" s="327"/>
      <c r="O49" s="327"/>
      <c r="P49" s="327"/>
      <c r="Q49" s="193"/>
      <c r="R49" s="193"/>
      <c r="S49" s="193"/>
      <c r="T49" s="193"/>
      <c r="U49" s="193"/>
      <c r="V49" s="193"/>
      <c r="W49" s="198"/>
    </row>
    <row r="50" spans="1:23">
      <c r="A50" s="625"/>
      <c r="B50" s="626"/>
      <c r="C50" s="195" t="s">
        <v>135</v>
      </c>
      <c r="D50" s="195"/>
      <c r="E50" s="195"/>
      <c r="F50" s="195"/>
      <c r="G50" s="238"/>
      <c r="H50" s="303"/>
      <c r="I50" s="304"/>
      <c r="J50" s="304"/>
      <c r="K50" s="323"/>
      <c r="L50" s="324"/>
      <c r="M50" s="324"/>
      <c r="N50" s="324"/>
      <c r="O50" s="324"/>
      <c r="P50" s="324"/>
      <c r="Q50" s="193"/>
      <c r="R50" s="193"/>
      <c r="S50" s="193"/>
      <c r="T50" s="193"/>
      <c r="U50" s="193"/>
      <c r="V50" s="193"/>
      <c r="W50" s="198"/>
    </row>
    <row r="51" spans="1:23">
      <c r="A51" s="625"/>
      <c r="B51" s="626"/>
      <c r="C51" s="193" t="s">
        <v>136</v>
      </c>
      <c r="D51" s="193"/>
      <c r="E51" s="193"/>
      <c r="F51" s="193"/>
      <c r="G51" s="221"/>
      <c r="H51" s="255">
        <f>H49*H$4*(1-H50)</f>
        <v>0</v>
      </c>
      <c r="I51" s="253">
        <f t="shared" ref="I51:J51" si="10">I49*I$4*(1-I50)</f>
        <v>0</v>
      </c>
      <c r="J51" s="253">
        <f t="shared" si="10"/>
        <v>0</v>
      </c>
      <c r="K51" s="331"/>
      <c r="L51" s="328"/>
      <c r="M51" s="328"/>
      <c r="N51" s="328"/>
      <c r="O51" s="328"/>
      <c r="P51" s="328"/>
      <c r="Q51" s="193"/>
      <c r="R51" s="193"/>
      <c r="S51" s="193"/>
      <c r="T51" s="193"/>
      <c r="U51" s="193"/>
      <c r="V51" s="193"/>
      <c r="W51" s="198"/>
    </row>
    <row r="52" spans="1:23">
      <c r="A52" s="625"/>
      <c r="B52" s="626"/>
      <c r="C52" s="193" t="s">
        <v>38</v>
      </c>
      <c r="D52" s="193"/>
      <c r="E52" s="193"/>
      <c r="F52" s="193"/>
      <c r="G52" s="221"/>
      <c r="H52" s="442"/>
      <c r="I52" s="439"/>
      <c r="J52" s="439"/>
      <c r="K52" s="332"/>
      <c r="L52" s="329"/>
      <c r="M52" s="329"/>
      <c r="N52" s="329"/>
      <c r="O52" s="329"/>
      <c r="P52" s="329"/>
      <c r="Q52" s="193"/>
      <c r="R52" s="193"/>
      <c r="S52" s="193"/>
      <c r="T52" s="193"/>
      <c r="U52" s="193"/>
      <c r="V52" s="193"/>
      <c r="W52" s="198"/>
    </row>
    <row r="53" spans="1:23" ht="14.4" thickBot="1">
      <c r="A53" s="627"/>
      <c r="B53" s="628"/>
      <c r="C53" s="194" t="s">
        <v>137</v>
      </c>
      <c r="D53" s="194"/>
      <c r="E53" s="194"/>
      <c r="F53" s="194"/>
      <c r="G53" s="212"/>
      <c r="H53" s="257">
        <f>H51*H52</f>
        <v>0</v>
      </c>
      <c r="I53" s="258">
        <f>I51*I52</f>
        <v>0</v>
      </c>
      <c r="J53" s="258">
        <f t="shared" ref="J53" si="11">J51*J52</f>
        <v>0</v>
      </c>
      <c r="K53" s="331"/>
      <c r="L53" s="328"/>
      <c r="M53" s="328"/>
      <c r="N53" s="328"/>
      <c r="O53" s="328"/>
      <c r="P53" s="328"/>
      <c r="Q53" s="193"/>
      <c r="R53" s="193"/>
      <c r="S53" s="193"/>
      <c r="T53" s="193"/>
      <c r="U53" s="193"/>
      <c r="V53" s="193"/>
      <c r="W53" s="198"/>
    </row>
    <row r="54" spans="1:23">
      <c r="A54" s="218"/>
      <c r="B54" s="193"/>
      <c r="C54" s="193"/>
      <c r="D54" s="193"/>
      <c r="E54" s="193"/>
      <c r="F54" s="193"/>
      <c r="G54" s="193"/>
      <c r="H54" s="193"/>
      <c r="I54" s="193"/>
      <c r="J54" s="193"/>
      <c r="K54" s="193"/>
      <c r="L54" s="193"/>
      <c r="M54" s="193"/>
      <c r="N54" s="193"/>
      <c r="O54" s="193"/>
      <c r="P54" s="193"/>
      <c r="Q54" s="193"/>
      <c r="R54" s="193"/>
      <c r="S54" s="193"/>
      <c r="T54" s="193"/>
      <c r="U54" s="193"/>
      <c r="V54" s="193"/>
      <c r="W54" s="198"/>
    </row>
    <row r="55" spans="1:23">
      <c r="A55" s="218"/>
      <c r="B55" s="193"/>
      <c r="C55" s="193"/>
      <c r="D55" s="193"/>
      <c r="E55" s="193"/>
      <c r="F55" s="193"/>
      <c r="G55" s="193"/>
      <c r="H55" s="193"/>
      <c r="I55" s="193"/>
      <c r="J55" s="193"/>
      <c r="K55" s="193"/>
      <c r="L55" s="193"/>
      <c r="M55" s="193"/>
      <c r="N55" s="193"/>
      <c r="O55" s="193"/>
      <c r="P55" s="193"/>
      <c r="Q55" s="193"/>
      <c r="R55" s="193"/>
      <c r="S55" s="193"/>
      <c r="T55" s="193"/>
      <c r="U55" s="193"/>
      <c r="V55" s="193"/>
      <c r="W55" s="198"/>
    </row>
    <row r="56" spans="1:23" ht="14.4" thickBot="1">
      <c r="A56" s="239"/>
      <c r="B56" s="194"/>
      <c r="C56" s="194"/>
      <c r="D56" s="194"/>
      <c r="E56" s="194"/>
      <c r="F56" s="194"/>
      <c r="G56" s="194"/>
      <c r="H56" s="194"/>
      <c r="I56" s="194"/>
      <c r="J56" s="194"/>
      <c r="K56" s="194"/>
      <c r="L56" s="194"/>
      <c r="M56" s="194"/>
      <c r="N56" s="194"/>
      <c r="O56" s="194"/>
      <c r="P56" s="194"/>
      <c r="Q56" s="194"/>
      <c r="R56" s="194"/>
      <c r="S56" s="194"/>
      <c r="T56" s="194"/>
      <c r="U56" s="194"/>
      <c r="V56" s="194"/>
      <c r="W56" s="242"/>
    </row>
  </sheetData>
  <pageMargins left="0.7" right="0.7" top="0.75" bottom="0.75" header="0.3" footer="0.3"/>
  <drawing r:id="rId1"/>
  <legacyDrawing r:id="rId2"/>
  <controls>
    <mc:AlternateContent xmlns:mc="http://schemas.openxmlformats.org/markup-compatibility/2006">
      <mc:Choice Requires="x14">
        <control shapeId="35841" r:id="rId3" name="CommandButton1">
          <controlPr defaultSize="0" autoLine="0" altText="Back" r:id="rId4">
            <anchor moveWithCells="1">
              <from>
                <xdr:col>0</xdr:col>
                <xdr:colOff>60960</xdr:colOff>
                <xdr:row>0</xdr:row>
                <xdr:rowOff>76200</xdr:rowOff>
              </from>
              <to>
                <xdr:col>0</xdr:col>
                <xdr:colOff>601980</xdr:colOff>
                <xdr:row>2</xdr:row>
                <xdr:rowOff>144780</xdr:rowOff>
              </to>
            </anchor>
          </controlPr>
        </control>
      </mc:Choice>
      <mc:Fallback>
        <control shapeId="35841" r:id="rId3" name="CommandButton1"/>
      </mc:Fallback>
    </mc:AlternateContent>
  </control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BF70"/>
  <sheetViews>
    <sheetView view="pageLayout" zoomScaleNormal="100" workbookViewId="0"/>
  </sheetViews>
  <sheetFormatPr defaultColWidth="9.109375" defaultRowHeight="13.8"/>
  <cols>
    <col min="1" max="11" width="11.109375" style="197" customWidth="1"/>
    <col min="12" max="12" width="19.44140625" style="197" customWidth="1"/>
    <col min="13" max="22" width="10.88671875" style="197" customWidth="1"/>
    <col min="23" max="23" width="19.44140625" style="197" customWidth="1"/>
    <col min="24" max="33" width="10.88671875" style="197" customWidth="1"/>
    <col min="34" max="34" width="19.44140625" style="197" customWidth="1"/>
    <col min="35" max="44" width="11" style="197" customWidth="1"/>
    <col min="45" max="45" width="19.44140625" style="197" customWidth="1"/>
    <col min="46" max="55" width="10.88671875" style="197" customWidth="1"/>
    <col min="56" max="68" width="8" style="197" customWidth="1"/>
    <col min="69" max="16384" width="9.109375" style="197"/>
  </cols>
  <sheetData>
    <row r="1" spans="1:55" ht="15" customHeight="1">
      <c r="A1" s="430" t="s">
        <v>78</v>
      </c>
      <c r="B1" s="287"/>
      <c r="C1" s="430" t="s">
        <v>82</v>
      </c>
      <c r="D1" s="287"/>
      <c r="E1" s="287"/>
      <c r="F1" s="287"/>
      <c r="G1" s="287"/>
      <c r="H1" s="287"/>
      <c r="I1" s="287"/>
      <c r="J1" s="287"/>
      <c r="K1" s="287"/>
      <c r="L1" s="429" t="s">
        <v>78</v>
      </c>
      <c r="M1" s="430" t="s">
        <v>313</v>
      </c>
      <c r="N1" s="287"/>
      <c r="O1" s="287"/>
      <c r="P1" s="287"/>
      <c r="Q1" s="287"/>
      <c r="R1" s="287"/>
      <c r="S1" s="287"/>
      <c r="T1" s="287"/>
      <c r="U1" s="287"/>
      <c r="V1" s="287"/>
      <c r="W1" s="430" t="s">
        <v>78</v>
      </c>
      <c r="X1" s="430" t="s">
        <v>314</v>
      </c>
      <c r="Y1" s="287"/>
      <c r="Z1" s="287"/>
      <c r="AA1" s="287"/>
      <c r="AB1" s="287"/>
      <c r="AC1" s="287"/>
      <c r="AD1" s="287"/>
      <c r="AE1" s="287"/>
      <c r="AF1" s="287"/>
      <c r="AG1" s="287"/>
      <c r="AH1" s="430" t="s">
        <v>78</v>
      </c>
      <c r="AI1" s="432" t="s">
        <v>315</v>
      </c>
      <c r="AJ1" s="287"/>
      <c r="AK1" s="287"/>
      <c r="AL1" s="287"/>
      <c r="AM1" s="287"/>
      <c r="AN1" s="287"/>
      <c r="AO1" s="287"/>
      <c r="AP1" s="287"/>
      <c r="AQ1" s="287"/>
      <c r="AR1" s="287"/>
      <c r="AS1" s="430" t="s">
        <v>78</v>
      </c>
      <c r="AT1" s="430" t="s">
        <v>316</v>
      </c>
      <c r="AU1" s="287"/>
      <c r="AV1" s="287"/>
      <c r="AW1" s="287"/>
      <c r="AX1" s="287"/>
      <c r="AY1" s="287"/>
      <c r="AZ1" s="287"/>
      <c r="BA1" s="287"/>
      <c r="BB1" s="287"/>
      <c r="BC1" s="287"/>
    </row>
    <row r="2" spans="1:55" ht="15" customHeight="1">
      <c r="A2" s="430"/>
      <c r="B2" s="287"/>
      <c r="C2" s="430"/>
      <c r="D2" s="287"/>
      <c r="E2" s="287"/>
      <c r="F2" s="287"/>
      <c r="G2" s="287"/>
      <c r="H2" s="287"/>
      <c r="I2" s="287"/>
      <c r="J2" s="287"/>
      <c r="K2" s="287"/>
      <c r="L2" s="429"/>
      <c r="M2" s="430"/>
      <c r="N2" s="287"/>
      <c r="O2" s="287"/>
      <c r="P2" s="287"/>
      <c r="Q2" s="287"/>
      <c r="R2" s="287"/>
      <c r="S2" s="287"/>
      <c r="T2" s="287"/>
      <c r="U2" s="287"/>
      <c r="V2" s="287"/>
      <c r="W2" s="430"/>
      <c r="X2" s="430"/>
      <c r="Y2" s="287"/>
      <c r="Z2" s="287"/>
      <c r="AA2" s="287"/>
      <c r="AB2" s="287"/>
      <c r="AC2" s="287"/>
      <c r="AD2" s="287"/>
      <c r="AE2" s="287"/>
      <c r="AF2" s="287"/>
      <c r="AG2" s="287"/>
      <c r="AH2" s="430"/>
      <c r="AI2" s="432"/>
      <c r="AJ2" s="287"/>
      <c r="AK2" s="287"/>
      <c r="AL2" s="287"/>
      <c r="AM2" s="287"/>
      <c r="AN2" s="287"/>
      <c r="AO2" s="287"/>
      <c r="AP2" s="287"/>
      <c r="AQ2" s="287"/>
      <c r="AR2" s="287"/>
      <c r="AS2" s="430"/>
      <c r="AT2" s="430"/>
      <c r="AU2" s="287"/>
      <c r="AV2" s="287"/>
      <c r="AW2" s="287"/>
      <c r="AX2" s="287"/>
      <c r="AY2" s="287"/>
      <c r="AZ2" s="287"/>
      <c r="BA2" s="287"/>
      <c r="BB2" s="287"/>
      <c r="BC2" s="287"/>
    </row>
    <row r="3" spans="1:55" ht="15" customHeight="1">
      <c r="A3" s="139" t="s">
        <v>157</v>
      </c>
      <c r="B3" s="139"/>
      <c r="C3" s="139"/>
      <c r="D3" s="139"/>
      <c r="E3" s="139"/>
      <c r="F3" s="139"/>
      <c r="G3" s="139"/>
      <c r="H3" s="139"/>
      <c r="I3" s="139"/>
      <c r="J3" s="139"/>
      <c r="K3" s="139"/>
      <c r="L3" s="139" t="s">
        <v>276</v>
      </c>
      <c r="M3" s="139"/>
      <c r="N3" s="139"/>
      <c r="O3" s="139"/>
      <c r="P3" s="139"/>
      <c r="Q3" s="139"/>
      <c r="R3" s="139"/>
      <c r="S3" s="139"/>
      <c r="T3" s="139"/>
      <c r="U3" s="139"/>
      <c r="V3" s="139"/>
      <c r="W3" s="139" t="s">
        <v>276</v>
      </c>
      <c r="X3" s="139"/>
      <c r="Y3" s="139"/>
      <c r="Z3" s="139"/>
      <c r="AA3" s="139"/>
      <c r="AB3" s="139"/>
      <c r="AC3" s="139"/>
      <c r="AD3" s="139"/>
      <c r="AE3" s="139"/>
      <c r="AF3" s="139"/>
      <c r="AG3" s="139"/>
      <c r="AH3" s="139" t="s">
        <v>276</v>
      </c>
      <c r="AI3" s="139"/>
      <c r="AJ3" s="139"/>
      <c r="AK3" s="139"/>
      <c r="AL3" s="139"/>
      <c r="AM3" s="139"/>
      <c r="AN3" s="139"/>
      <c r="AO3" s="139"/>
      <c r="AP3" s="139"/>
      <c r="AQ3" s="139"/>
      <c r="AR3" s="139"/>
      <c r="AS3" s="139" t="s">
        <v>276</v>
      </c>
      <c r="AT3" s="139"/>
      <c r="AU3" s="139"/>
      <c r="AV3" s="139"/>
      <c r="AW3" s="139"/>
      <c r="AX3" s="139"/>
      <c r="AY3" s="139"/>
      <c r="AZ3" s="139"/>
      <c r="BA3" s="139"/>
      <c r="BB3" s="139"/>
      <c r="BC3" s="139"/>
    </row>
    <row r="4" spans="1:55" ht="15" customHeight="1">
      <c r="A4" s="287"/>
      <c r="B4" s="287"/>
      <c r="C4" s="287"/>
      <c r="D4" s="287"/>
      <c r="E4" s="287"/>
      <c r="F4" s="287"/>
      <c r="G4" s="287"/>
      <c r="H4" s="287"/>
      <c r="I4" s="287"/>
      <c r="J4" s="287"/>
      <c r="K4" s="287"/>
      <c r="L4" s="287"/>
      <c r="M4" s="287"/>
      <c r="N4" s="287"/>
      <c r="O4" s="287"/>
      <c r="P4" s="287"/>
      <c r="Q4" s="287"/>
      <c r="R4" s="287"/>
      <c r="S4" s="287"/>
      <c r="T4" s="287"/>
      <c r="U4" s="287"/>
      <c r="V4" s="287"/>
      <c r="W4" s="287"/>
      <c r="X4" s="287"/>
      <c r="Y4" s="287"/>
      <c r="Z4" s="287"/>
      <c r="AA4" s="287"/>
      <c r="AB4" s="287"/>
      <c r="AC4" s="287"/>
      <c r="AD4" s="287"/>
      <c r="AE4" s="287"/>
      <c r="AF4" s="287"/>
      <c r="AG4" s="287"/>
      <c r="AH4" s="287"/>
      <c r="AI4" s="287"/>
      <c r="AJ4" s="287"/>
      <c r="AK4" s="287"/>
      <c r="AL4" s="287"/>
      <c r="AM4" s="287"/>
      <c r="AN4" s="287"/>
      <c r="AO4" s="287"/>
      <c r="AP4" s="287"/>
      <c r="AQ4" s="287"/>
      <c r="AR4" s="287"/>
      <c r="AS4" s="287"/>
      <c r="AT4" s="287"/>
      <c r="AU4" s="287"/>
      <c r="AV4" s="287"/>
      <c r="AW4" s="287"/>
      <c r="AX4" s="287"/>
      <c r="AY4" s="287"/>
      <c r="AZ4" s="287"/>
      <c r="BA4" s="287"/>
      <c r="BB4" s="287"/>
      <c r="BC4" s="287"/>
    </row>
    <row r="5" spans="1:55" ht="15" customHeight="1">
      <c r="A5" s="288" t="s">
        <v>279</v>
      </c>
      <c r="B5" s="288"/>
      <c r="C5" s="288"/>
      <c r="D5" s="288"/>
      <c r="E5" s="288"/>
      <c r="F5" s="288"/>
      <c r="G5" s="288"/>
      <c r="H5" s="288"/>
      <c r="I5" s="288"/>
      <c r="J5" s="288"/>
      <c r="K5" s="287"/>
      <c r="L5" s="431" t="s">
        <v>285</v>
      </c>
      <c r="M5" s="287"/>
      <c r="N5" s="287"/>
      <c r="O5" s="287"/>
      <c r="P5" s="287"/>
      <c r="Q5" s="287"/>
      <c r="R5" s="288" t="s">
        <v>286</v>
      </c>
      <c r="S5" s="287"/>
      <c r="T5" s="287"/>
      <c r="U5" s="287"/>
      <c r="V5" s="287"/>
      <c r="W5" s="431" t="s">
        <v>285</v>
      </c>
      <c r="X5" s="287"/>
      <c r="Y5" s="287"/>
      <c r="Z5" s="287"/>
      <c r="AA5" s="287"/>
      <c r="AB5" s="287"/>
      <c r="AC5" s="288" t="s">
        <v>286</v>
      </c>
      <c r="AD5" s="288"/>
      <c r="AE5" s="288"/>
      <c r="AF5" s="288"/>
      <c r="AG5" s="288"/>
      <c r="AH5" s="431" t="s">
        <v>285</v>
      </c>
      <c r="AI5" s="287"/>
      <c r="AJ5" s="287"/>
      <c r="AK5" s="287"/>
      <c r="AL5" s="287"/>
      <c r="AM5" s="287"/>
      <c r="AN5" s="288" t="s">
        <v>286</v>
      </c>
      <c r="AO5" s="288"/>
      <c r="AP5" s="288"/>
      <c r="AQ5" s="288"/>
      <c r="AR5" s="288"/>
      <c r="AS5" s="431" t="s">
        <v>285</v>
      </c>
      <c r="AT5" s="287"/>
      <c r="AU5" s="287"/>
      <c r="AV5" s="287"/>
      <c r="AW5" s="287"/>
      <c r="AX5" s="287"/>
      <c r="AY5" s="288" t="s">
        <v>286</v>
      </c>
      <c r="AZ5" s="288"/>
      <c r="BA5" s="288"/>
      <c r="BB5" s="288"/>
      <c r="BC5" s="288"/>
    </row>
    <row r="6" spans="1:55" ht="15" customHeight="1">
      <c r="A6" s="288"/>
      <c r="B6" s="737" t="s">
        <v>65</v>
      </c>
      <c r="C6" s="737"/>
      <c r="D6" s="738"/>
      <c r="E6" s="739" t="s">
        <v>95</v>
      </c>
      <c r="F6" s="737"/>
      <c r="G6" s="738"/>
      <c r="H6" s="739" t="s">
        <v>67</v>
      </c>
      <c r="I6" s="737"/>
      <c r="J6" s="737"/>
      <c r="K6" s="287"/>
      <c r="L6" s="287"/>
      <c r="M6" s="287"/>
      <c r="N6" s="287"/>
      <c r="O6" s="287"/>
      <c r="P6" s="287"/>
      <c r="Q6" s="287"/>
      <c r="R6" s="287"/>
      <c r="S6" s="287"/>
      <c r="T6" s="287"/>
      <c r="U6" s="287"/>
      <c r="V6" s="287"/>
      <c r="W6" s="288"/>
      <c r="X6" s="288"/>
      <c r="Y6" s="288"/>
      <c r="Z6" s="288"/>
      <c r="AA6" s="288"/>
      <c r="AB6" s="288"/>
      <c r="AC6" s="288"/>
      <c r="AD6" s="288"/>
      <c r="AE6" s="288"/>
      <c r="AF6" s="288"/>
      <c r="AG6" s="288"/>
      <c r="AH6" s="288"/>
      <c r="AI6" s="288"/>
      <c r="AJ6" s="288"/>
      <c r="AK6" s="288"/>
      <c r="AL6" s="288"/>
      <c r="AM6" s="288"/>
      <c r="AN6" s="288"/>
      <c r="AO6" s="288"/>
      <c r="AP6" s="288"/>
      <c r="AQ6" s="288"/>
      <c r="AR6" s="288"/>
      <c r="AS6" s="288"/>
      <c r="AT6" s="288"/>
      <c r="AU6" s="288"/>
      <c r="AV6" s="288"/>
      <c r="AW6" s="288"/>
      <c r="AX6" s="288"/>
      <c r="AY6" s="288"/>
      <c r="AZ6" s="288"/>
      <c r="BA6" s="288"/>
      <c r="BB6" s="288"/>
      <c r="BC6" s="288"/>
    </row>
    <row r="7" spans="1:55" ht="15" customHeight="1">
      <c r="A7" s="288"/>
      <c r="B7" s="711" t="s">
        <v>4</v>
      </c>
      <c r="C7" s="711" t="s">
        <v>5</v>
      </c>
      <c r="D7" s="712">
        <v>18</v>
      </c>
      <c r="E7" s="713" t="s">
        <v>4</v>
      </c>
      <c r="F7" s="711" t="s">
        <v>5</v>
      </c>
      <c r="G7" s="712">
        <v>18</v>
      </c>
      <c r="H7" s="711" t="s">
        <v>4</v>
      </c>
      <c r="I7" s="711" t="s">
        <v>5</v>
      </c>
      <c r="J7" s="711">
        <v>18</v>
      </c>
      <c r="K7" s="287"/>
      <c r="L7" s="287"/>
      <c r="M7" s="692" t="s">
        <v>98</v>
      </c>
      <c r="N7" s="288"/>
      <c r="O7" s="288"/>
      <c r="P7" s="288"/>
      <c r="Q7" s="288"/>
      <c r="R7" s="288"/>
      <c r="S7" s="692" t="s">
        <v>98</v>
      </c>
      <c r="T7" s="288"/>
      <c r="U7" s="288"/>
      <c r="V7" s="287"/>
      <c r="W7" s="288"/>
      <c r="X7" s="692" t="s">
        <v>98</v>
      </c>
      <c r="Y7" s="692"/>
      <c r="Z7" s="692"/>
      <c r="AA7" s="692"/>
      <c r="AB7" s="692"/>
      <c r="AC7" s="692"/>
      <c r="AD7" s="692" t="s">
        <v>98</v>
      </c>
      <c r="AE7" s="288"/>
      <c r="AF7" s="288"/>
      <c r="AG7" s="288"/>
      <c r="AH7" s="288"/>
      <c r="AI7" s="692" t="s">
        <v>98</v>
      </c>
      <c r="AJ7" s="692"/>
      <c r="AK7" s="692"/>
      <c r="AL7" s="692"/>
      <c r="AM7" s="692"/>
      <c r="AN7" s="692"/>
      <c r="AO7" s="692" t="s">
        <v>98</v>
      </c>
      <c r="AP7" s="692"/>
      <c r="AQ7" s="692"/>
      <c r="AR7" s="692"/>
      <c r="AS7" s="692"/>
      <c r="AT7" s="692" t="s">
        <v>98</v>
      </c>
      <c r="AU7" s="692"/>
      <c r="AV7" s="692"/>
      <c r="AW7" s="692"/>
      <c r="AX7" s="692"/>
      <c r="AY7" s="692"/>
      <c r="AZ7" s="692" t="s">
        <v>98</v>
      </c>
      <c r="BA7" s="692"/>
      <c r="BB7" s="288"/>
      <c r="BC7" s="288"/>
    </row>
    <row r="8" spans="1:55" ht="15" customHeight="1">
      <c r="A8" s="416"/>
      <c r="B8" s="658">
        <f>'Baseline Params'!H4</f>
        <v>0</v>
      </c>
      <c r="C8" s="658">
        <f>'Baseline Params'!I4</f>
        <v>0</v>
      </c>
      <c r="D8" s="709">
        <f>'Baseline Params'!J4</f>
        <v>0</v>
      </c>
      <c r="E8" s="710">
        <f>'Baseline Params'!K4</f>
        <v>0</v>
      </c>
      <c r="F8" s="658">
        <f>'Baseline Params'!L4</f>
        <v>0</v>
      </c>
      <c r="G8" s="709">
        <f>'Baseline Params'!M4</f>
        <v>0</v>
      </c>
      <c r="H8" s="658">
        <f>'Baseline Params'!N4</f>
        <v>0</v>
      </c>
      <c r="I8" s="658">
        <f>'Baseline Params'!O4</f>
        <v>0</v>
      </c>
      <c r="J8" s="658">
        <f>'Baseline Params'!P4</f>
        <v>0</v>
      </c>
      <c r="K8" s="287"/>
      <c r="L8" s="287"/>
      <c r="M8" s="287"/>
      <c r="N8" s="287"/>
      <c r="O8" s="287"/>
      <c r="P8" s="287"/>
      <c r="Q8" s="287"/>
      <c r="R8" s="287"/>
      <c r="S8" s="287"/>
      <c r="T8" s="287"/>
      <c r="U8" s="287"/>
      <c r="V8" s="287"/>
      <c r="W8" s="287"/>
      <c r="X8" s="287"/>
      <c r="Y8" s="287"/>
      <c r="Z8" s="287"/>
      <c r="AA8" s="287"/>
      <c r="AB8" s="287"/>
      <c r="AC8" s="287"/>
      <c r="AD8" s="287"/>
      <c r="AE8" s="287"/>
      <c r="AF8" s="287"/>
      <c r="AG8" s="288"/>
      <c r="AH8" s="288"/>
      <c r="AI8" s="288"/>
      <c r="AJ8" s="288"/>
      <c r="AK8" s="288"/>
      <c r="AL8" s="288"/>
      <c r="AM8" s="288"/>
      <c r="AN8" s="288"/>
      <c r="AO8" s="288"/>
      <c r="AP8" s="288"/>
      <c r="AQ8" s="288"/>
      <c r="AR8" s="288"/>
      <c r="AS8" s="287"/>
      <c r="AT8" s="287"/>
      <c r="AU8" s="287"/>
      <c r="AV8" s="287"/>
      <c r="AW8" s="287"/>
      <c r="AX8" s="287"/>
      <c r="AY8" s="287"/>
      <c r="AZ8" s="287"/>
      <c r="BA8" s="287"/>
      <c r="BB8" s="287"/>
      <c r="BC8" s="288"/>
    </row>
    <row r="9" spans="1:55" ht="15" customHeight="1">
      <c r="A9" s="288"/>
      <c r="B9" s="288"/>
      <c r="C9" s="288"/>
      <c r="D9" s="288"/>
      <c r="E9" s="288"/>
      <c r="F9" s="288"/>
      <c r="G9" s="287"/>
      <c r="H9" s="287"/>
      <c r="I9" s="287"/>
      <c r="J9" s="287"/>
      <c r="K9" s="287"/>
      <c r="L9" s="416"/>
      <c r="M9" s="410" t="s">
        <v>4</v>
      </c>
      <c r="N9" s="410" t="s">
        <v>5</v>
      </c>
      <c r="O9" s="410" t="s">
        <v>79</v>
      </c>
      <c r="P9" s="426"/>
      <c r="Q9" s="288"/>
      <c r="R9" s="288"/>
      <c r="S9" s="410" t="s">
        <v>4</v>
      </c>
      <c r="T9" s="410" t="s">
        <v>5</v>
      </c>
      <c r="U9" s="410" t="s">
        <v>79</v>
      </c>
      <c r="V9" s="287"/>
      <c r="W9" s="416"/>
      <c r="X9" s="410" t="s">
        <v>4</v>
      </c>
      <c r="Y9" s="410" t="s">
        <v>5</v>
      </c>
      <c r="Z9" s="410" t="s">
        <v>79</v>
      </c>
      <c r="AA9" s="426"/>
      <c r="AB9" s="288"/>
      <c r="AC9" s="288"/>
      <c r="AD9" s="410" t="s">
        <v>4</v>
      </c>
      <c r="AE9" s="410" t="s">
        <v>5</v>
      </c>
      <c r="AF9" s="410" t="s">
        <v>79</v>
      </c>
      <c r="AG9" s="426"/>
      <c r="AH9" s="416"/>
      <c r="AI9" s="410" t="s">
        <v>4</v>
      </c>
      <c r="AJ9" s="410" t="s">
        <v>5</v>
      </c>
      <c r="AK9" s="410" t="s">
        <v>79</v>
      </c>
      <c r="AL9" s="426"/>
      <c r="AM9" s="288"/>
      <c r="AN9" s="288"/>
      <c r="AO9" s="410" t="s">
        <v>4</v>
      </c>
      <c r="AP9" s="410" t="s">
        <v>5</v>
      </c>
      <c r="AQ9" s="410" t="s">
        <v>79</v>
      </c>
      <c r="AR9" s="426"/>
      <c r="AS9" s="416"/>
      <c r="AT9" s="410" t="s">
        <v>4</v>
      </c>
      <c r="AU9" s="410" t="s">
        <v>5</v>
      </c>
      <c r="AV9" s="410" t="s">
        <v>79</v>
      </c>
      <c r="AW9" s="426"/>
      <c r="AX9" s="288"/>
      <c r="AY9" s="288"/>
      <c r="AZ9" s="410" t="s">
        <v>4</v>
      </c>
      <c r="BA9" s="410" t="s">
        <v>5</v>
      </c>
      <c r="BB9" s="410" t="s">
        <v>79</v>
      </c>
      <c r="BC9" s="426"/>
    </row>
    <row r="10" spans="1:55" ht="15" customHeight="1">
      <c r="A10" s="287"/>
      <c r="B10" s="287"/>
      <c r="C10" s="287"/>
      <c r="D10" s="287"/>
      <c r="E10" s="287"/>
      <c r="F10" s="287"/>
      <c r="G10" s="287"/>
      <c r="H10" s="287"/>
      <c r="I10" s="287"/>
      <c r="J10" s="287"/>
      <c r="K10" s="288"/>
      <c r="L10" s="654" t="s">
        <v>65</v>
      </c>
      <c r="M10" s="716">
        <f>'Model 1 Params'!H5</f>
        <v>0</v>
      </c>
      <c r="N10" s="669">
        <f>'Model 1 Params'!I5</f>
        <v>0</v>
      </c>
      <c r="O10" s="669">
        <f>'Model 1 Params'!J5</f>
        <v>0</v>
      </c>
      <c r="P10" s="311"/>
      <c r="Q10" s="654" t="s">
        <v>65</v>
      </c>
      <c r="R10" s="719" t="s">
        <v>293</v>
      </c>
      <c r="S10" s="662">
        <f>'Model 1 Params'!H11</f>
        <v>0</v>
      </c>
      <c r="T10" s="662">
        <f>'Model 1 Params'!I11</f>
        <v>0</v>
      </c>
      <c r="U10" s="662">
        <f>'Model 1 Params'!J11</f>
        <v>0</v>
      </c>
      <c r="V10" s="287"/>
      <c r="W10" s="656" t="s">
        <v>65</v>
      </c>
      <c r="X10" s="716">
        <f>'Model 2 Params'!H5</f>
        <v>0</v>
      </c>
      <c r="Y10" s="669">
        <f>'Model 2 Params'!I5</f>
        <v>0</v>
      </c>
      <c r="Z10" s="669">
        <f>'Model 2 Params'!J5</f>
        <v>0</v>
      </c>
      <c r="AA10" s="311"/>
      <c r="AB10" s="654" t="s">
        <v>65</v>
      </c>
      <c r="AC10" s="719" t="s">
        <v>293</v>
      </c>
      <c r="AD10" s="662">
        <f>'Model 2 Params'!H11</f>
        <v>0</v>
      </c>
      <c r="AE10" s="662">
        <f>'Model 2 Params'!I11</f>
        <v>0</v>
      </c>
      <c r="AF10" s="662">
        <f>'Model 2 Params'!J11</f>
        <v>0</v>
      </c>
      <c r="AG10" s="312"/>
      <c r="AH10" s="656" t="s">
        <v>65</v>
      </c>
      <c r="AI10" s="716">
        <f>'Model 3 Params'!H5</f>
        <v>0</v>
      </c>
      <c r="AJ10" s="669">
        <f>'Model 3 Params'!I5</f>
        <v>0</v>
      </c>
      <c r="AK10" s="669">
        <f>'Model 3 Params'!J5</f>
        <v>0</v>
      </c>
      <c r="AL10" s="311"/>
      <c r="AM10" s="654" t="s">
        <v>65</v>
      </c>
      <c r="AN10" s="719" t="s">
        <v>293</v>
      </c>
      <c r="AO10" s="662">
        <f>'Model 3 Params'!H11</f>
        <v>0</v>
      </c>
      <c r="AP10" s="662">
        <f>'Model 3 Params'!I11</f>
        <v>0</v>
      </c>
      <c r="AQ10" s="662">
        <f>'Model 3 Params'!J11</f>
        <v>0</v>
      </c>
      <c r="AR10" s="662"/>
      <c r="AS10" s="656" t="s">
        <v>65</v>
      </c>
      <c r="AT10" s="716">
        <f>'Model 4 Params'!H5</f>
        <v>0</v>
      </c>
      <c r="AU10" s="669">
        <f>'Model 4 Params'!I5</f>
        <v>0</v>
      </c>
      <c r="AV10" s="669">
        <f>'Model 4 Params'!J5</f>
        <v>0</v>
      </c>
      <c r="AW10" s="311"/>
      <c r="AX10" s="656" t="s">
        <v>65</v>
      </c>
      <c r="AY10" s="719" t="s">
        <v>293</v>
      </c>
      <c r="AZ10" s="662">
        <f>'Model 4 Params'!H11</f>
        <v>0</v>
      </c>
      <c r="BA10" s="662">
        <f>'Model 4 Params'!I11</f>
        <v>0</v>
      </c>
      <c r="BB10" s="662">
        <f>'Model 4 Params'!J11</f>
        <v>0</v>
      </c>
      <c r="BC10" s="312"/>
    </row>
    <row r="11" spans="1:55" ht="15" customHeight="1">
      <c r="A11" s="287"/>
      <c r="B11" s="288" t="s">
        <v>280</v>
      </c>
      <c r="C11" s="287"/>
      <c r="D11" s="287"/>
      <c r="E11" s="287"/>
      <c r="F11" s="658"/>
      <c r="G11" s="288" t="s">
        <v>281</v>
      </c>
      <c r="H11" s="288"/>
      <c r="I11" s="288"/>
      <c r="J11" s="288"/>
      <c r="K11" s="288"/>
      <c r="L11" s="426" t="s">
        <v>95</v>
      </c>
      <c r="M11" s="717">
        <f>'Model 1 Params'!K5</f>
        <v>0</v>
      </c>
      <c r="N11" s="661">
        <f>'Model 1 Params'!L5</f>
        <v>0</v>
      </c>
      <c r="O11" s="661">
        <f>'Model 1 Params'!M5</f>
        <v>0</v>
      </c>
      <c r="P11" s="311"/>
      <c r="Q11" s="654"/>
      <c r="R11" s="719" t="s">
        <v>283</v>
      </c>
      <c r="S11" s="662">
        <f>'Model 1 Params'!H12</f>
        <v>0</v>
      </c>
      <c r="T11" s="662">
        <f>'Model 1 Params'!I12</f>
        <v>0</v>
      </c>
      <c r="U11" s="662">
        <f>'Model 1 Params'!J12</f>
        <v>0</v>
      </c>
      <c r="V11" s="287"/>
      <c r="W11" s="426" t="s">
        <v>95</v>
      </c>
      <c r="X11" s="717">
        <f>'Model 2 Params'!K5</f>
        <v>0</v>
      </c>
      <c r="Y11" s="661">
        <f>'Model 2 Params'!L5</f>
        <v>0</v>
      </c>
      <c r="Z11" s="661">
        <f>'Model 2 Params'!M5</f>
        <v>0</v>
      </c>
      <c r="AA11" s="311"/>
      <c r="AB11" s="654"/>
      <c r="AC11" s="719" t="s">
        <v>283</v>
      </c>
      <c r="AD11" s="662">
        <f>'Model 2 Params'!H12</f>
        <v>0</v>
      </c>
      <c r="AE11" s="662">
        <f>'Model 2 Params'!I12</f>
        <v>0</v>
      </c>
      <c r="AF11" s="662">
        <f>'Model 2 Params'!J12</f>
        <v>0</v>
      </c>
      <c r="AG11" s="312"/>
      <c r="AH11" s="426" t="s">
        <v>95</v>
      </c>
      <c r="AI11" s="717">
        <f>'Model 3 Params'!K5</f>
        <v>0</v>
      </c>
      <c r="AJ11" s="661">
        <f>'Model 3 Params'!L5</f>
        <v>0</v>
      </c>
      <c r="AK11" s="661">
        <f>'Model 3 Params'!M5</f>
        <v>0</v>
      </c>
      <c r="AL11" s="311"/>
      <c r="AM11" s="654"/>
      <c r="AN11" s="719" t="s">
        <v>283</v>
      </c>
      <c r="AO11" s="662">
        <f>'Model 3 Params'!H12</f>
        <v>0</v>
      </c>
      <c r="AP11" s="662">
        <f>'Model 3 Params'!I12</f>
        <v>0</v>
      </c>
      <c r="AQ11" s="662">
        <f>'Model 3 Params'!J12</f>
        <v>0</v>
      </c>
      <c r="AR11" s="662"/>
      <c r="AS11" s="426" t="s">
        <v>95</v>
      </c>
      <c r="AT11" s="717">
        <f>'Model 4 Params'!K5</f>
        <v>0</v>
      </c>
      <c r="AU11" s="661">
        <f>'Model 4 Params'!L5</f>
        <v>0</v>
      </c>
      <c r="AV11" s="661">
        <f>'Model 4 Params'!M5</f>
        <v>0</v>
      </c>
      <c r="AW11" s="311"/>
      <c r="AX11" s="656"/>
      <c r="AY11" s="719" t="s">
        <v>283</v>
      </c>
      <c r="AZ11" s="662">
        <f>'Model 4 Params'!H12</f>
        <v>0</v>
      </c>
      <c r="BA11" s="662">
        <f>'Model 4 Params'!I12</f>
        <v>0</v>
      </c>
      <c r="BB11" s="662">
        <f>'Model 4 Params'!J12</f>
        <v>0</v>
      </c>
      <c r="BC11" s="312"/>
    </row>
    <row r="12" spans="1:55" ht="15" customHeight="1">
      <c r="A12" s="287"/>
      <c r="C12" s="411" t="s">
        <v>80</v>
      </c>
      <c r="D12" s="411" t="s">
        <v>81</v>
      </c>
      <c r="E12" s="411" t="s">
        <v>39</v>
      </c>
      <c r="F12" s="288"/>
      <c r="G12" s="416"/>
      <c r="H12" s="715" t="s">
        <v>4</v>
      </c>
      <c r="I12" s="715" t="s">
        <v>5</v>
      </c>
      <c r="J12" s="715" t="s">
        <v>79</v>
      </c>
      <c r="K12" s="288"/>
      <c r="L12" s="426" t="s">
        <v>67</v>
      </c>
      <c r="M12" s="717">
        <f>'Model 1 Params'!N5</f>
        <v>0</v>
      </c>
      <c r="N12" s="661">
        <f>'Model 1 Params'!O5</f>
        <v>0</v>
      </c>
      <c r="O12" s="661">
        <f>'Model 1 Params'!P5</f>
        <v>0</v>
      </c>
      <c r="P12" s="311"/>
      <c r="Q12" s="411"/>
      <c r="R12" s="720" t="s">
        <v>284</v>
      </c>
      <c r="S12" s="662">
        <f>'Model 1 Params'!H13</f>
        <v>0</v>
      </c>
      <c r="T12" s="662">
        <f>'Model 1 Params'!I13</f>
        <v>0</v>
      </c>
      <c r="U12" s="662">
        <f>'Model 1 Params'!J13</f>
        <v>0</v>
      </c>
      <c r="V12" s="287"/>
      <c r="W12" s="426" t="s">
        <v>67</v>
      </c>
      <c r="X12" s="717">
        <f>'Model 2 Params'!N5</f>
        <v>0</v>
      </c>
      <c r="Y12" s="661">
        <f>'Model 2 Params'!O5</f>
        <v>0</v>
      </c>
      <c r="Z12" s="661">
        <f>'Model 2 Params'!P5</f>
        <v>0</v>
      </c>
      <c r="AA12" s="311"/>
      <c r="AB12" s="411"/>
      <c r="AC12" s="720" t="s">
        <v>284</v>
      </c>
      <c r="AD12" s="662">
        <f>'Model 2 Params'!H13</f>
        <v>0</v>
      </c>
      <c r="AE12" s="662">
        <f>'Model 2 Params'!I13</f>
        <v>0</v>
      </c>
      <c r="AF12" s="662">
        <f>'Model 2 Params'!J13</f>
        <v>0</v>
      </c>
      <c r="AG12" s="312"/>
      <c r="AH12" s="426" t="s">
        <v>67</v>
      </c>
      <c r="AI12" s="717">
        <f>'Model 3 Params'!N5</f>
        <v>0</v>
      </c>
      <c r="AJ12" s="661">
        <f>'Model 3 Params'!O5</f>
        <v>0</v>
      </c>
      <c r="AK12" s="661">
        <f>'Model 3 Params'!P5</f>
        <v>0</v>
      </c>
      <c r="AL12" s="311"/>
      <c r="AM12" s="411"/>
      <c r="AN12" s="720" t="s">
        <v>284</v>
      </c>
      <c r="AO12" s="662">
        <f>'Model 3 Params'!H13</f>
        <v>0</v>
      </c>
      <c r="AP12" s="662">
        <f>'Model 3 Params'!I13</f>
        <v>0</v>
      </c>
      <c r="AQ12" s="662">
        <f>'Model 3 Params'!J13</f>
        <v>0</v>
      </c>
      <c r="AR12" s="662"/>
      <c r="AS12" s="426" t="s">
        <v>67</v>
      </c>
      <c r="AT12" s="717">
        <f>'Model 4 Params'!N5</f>
        <v>0</v>
      </c>
      <c r="AU12" s="661">
        <f>'Model 4 Params'!O5</f>
        <v>0</v>
      </c>
      <c r="AV12" s="661">
        <f>'Model 4 Params'!P5</f>
        <v>0</v>
      </c>
      <c r="AW12" s="311"/>
      <c r="AX12" s="411"/>
      <c r="AY12" s="720" t="s">
        <v>284</v>
      </c>
      <c r="AZ12" s="662">
        <f>'Model 4 Params'!H13</f>
        <v>0</v>
      </c>
      <c r="BA12" s="662">
        <f>'Model 4 Params'!I13</f>
        <v>0</v>
      </c>
      <c r="BB12" s="662">
        <f>'Model 4 Params'!J13</f>
        <v>0</v>
      </c>
      <c r="BC12" s="312"/>
    </row>
    <row r="13" spans="1:55" ht="15" customHeight="1">
      <c r="A13" s="287"/>
      <c r="B13" s="415" t="s">
        <v>65</v>
      </c>
      <c r="C13" s="714">
        <f>Diagnoses!G19</f>
        <v>0</v>
      </c>
      <c r="D13" s="666">
        <f>Diagnoses!G31</f>
        <v>0</v>
      </c>
      <c r="E13" s="667">
        <f>Diagnoses!G44</f>
        <v>0</v>
      </c>
      <c r="F13" s="660"/>
      <c r="G13" s="656" t="s">
        <v>65</v>
      </c>
      <c r="H13" s="716">
        <f>'Baseline Params'!H5</f>
        <v>0</v>
      </c>
      <c r="I13" s="661">
        <f>'Baseline Params'!I5</f>
        <v>0</v>
      </c>
      <c r="J13" s="661">
        <f>'Baseline Params'!J5</f>
        <v>0</v>
      </c>
      <c r="K13" s="288"/>
      <c r="L13" s="426"/>
      <c r="M13" s="415"/>
      <c r="N13" s="311"/>
      <c r="O13" s="311"/>
      <c r="P13" s="311"/>
      <c r="Q13" s="412" t="s">
        <v>95</v>
      </c>
      <c r="R13" s="721" t="s">
        <v>293</v>
      </c>
      <c r="S13" s="664">
        <f>'Model 1 Params'!K11</f>
        <v>0</v>
      </c>
      <c r="T13" s="664">
        <f>'Model 1 Params'!L11</f>
        <v>0</v>
      </c>
      <c r="U13" s="664">
        <f>'Model 1 Params'!M11</f>
        <v>0</v>
      </c>
      <c r="V13" s="287"/>
      <c r="W13" s="426"/>
      <c r="X13" s="415"/>
      <c r="Y13" s="311"/>
      <c r="Z13" s="311"/>
      <c r="AA13" s="311"/>
      <c r="AB13" s="412" t="s">
        <v>95</v>
      </c>
      <c r="AC13" s="721" t="s">
        <v>293</v>
      </c>
      <c r="AD13" s="664">
        <f>'Model 2 Params'!K11</f>
        <v>0</v>
      </c>
      <c r="AE13" s="664">
        <f>'Model 2 Params'!L11</f>
        <v>0</v>
      </c>
      <c r="AF13" s="664">
        <f>'Model 2 Params'!M11</f>
        <v>0</v>
      </c>
      <c r="AG13" s="312"/>
      <c r="AH13" s="426"/>
      <c r="AI13" s="415"/>
      <c r="AJ13" s="311"/>
      <c r="AK13" s="311"/>
      <c r="AL13" s="311"/>
      <c r="AM13" s="412" t="s">
        <v>95</v>
      </c>
      <c r="AN13" s="721" t="s">
        <v>293</v>
      </c>
      <c r="AO13" s="664">
        <f>'Model 3 Params'!K11</f>
        <v>0</v>
      </c>
      <c r="AP13" s="664">
        <f>'Model 3 Params'!L11</f>
        <v>0</v>
      </c>
      <c r="AQ13" s="664">
        <f>'Model 3 Params'!M11</f>
        <v>0</v>
      </c>
      <c r="AR13" s="662"/>
      <c r="AS13" s="426"/>
      <c r="AT13" s="415"/>
      <c r="AU13" s="311"/>
      <c r="AV13" s="311"/>
      <c r="AW13" s="311"/>
      <c r="AX13" s="412" t="s">
        <v>95</v>
      </c>
      <c r="AY13" s="721" t="s">
        <v>293</v>
      </c>
      <c r="AZ13" s="664">
        <f>'Model 4 Params'!K11</f>
        <v>0</v>
      </c>
      <c r="BA13" s="664">
        <f>'Model 4 Params'!L11</f>
        <v>0</v>
      </c>
      <c r="BB13" s="664">
        <f>'Model 4 Params'!M11</f>
        <v>0</v>
      </c>
      <c r="BC13" s="312"/>
    </row>
    <row r="14" spans="1:55" ht="15" customHeight="1">
      <c r="A14" s="287"/>
      <c r="B14" s="415" t="s">
        <v>95</v>
      </c>
      <c r="C14" s="710">
        <f>Diagnoses!G21</f>
        <v>0</v>
      </c>
      <c r="D14" s="666">
        <f>Diagnoses!G33</f>
        <v>0</v>
      </c>
      <c r="E14" s="667"/>
      <c r="F14" s="660"/>
      <c r="G14" s="426" t="s">
        <v>95</v>
      </c>
      <c r="H14" s="717">
        <f>'Baseline Params'!K5</f>
        <v>0</v>
      </c>
      <c r="I14" s="661">
        <f>'Baseline Params'!L5</f>
        <v>0</v>
      </c>
      <c r="J14" s="661">
        <f>'Baseline Params'!M5</f>
        <v>0</v>
      </c>
      <c r="K14" s="661"/>
      <c r="L14" s="426"/>
      <c r="M14" s="415"/>
      <c r="N14" s="311"/>
      <c r="O14" s="311"/>
      <c r="P14" s="311"/>
      <c r="Q14" s="652" t="s">
        <v>67</v>
      </c>
      <c r="R14" s="722" t="s">
        <v>294</v>
      </c>
      <c r="S14" s="665">
        <f>'Model 1 Params'!N10</f>
        <v>0</v>
      </c>
      <c r="T14" s="665">
        <f>'Model 1 Params'!O10</f>
        <v>0</v>
      </c>
      <c r="U14" s="665">
        <f>'Model 1 Params'!P10</f>
        <v>0</v>
      </c>
      <c r="V14" s="287"/>
      <c r="W14" s="426"/>
      <c r="X14" s="415"/>
      <c r="Y14" s="311"/>
      <c r="Z14" s="311"/>
      <c r="AA14" s="311"/>
      <c r="AB14" s="652" t="s">
        <v>67</v>
      </c>
      <c r="AC14" s="722" t="s">
        <v>294</v>
      </c>
      <c r="AD14" s="665">
        <f>'Model 2 Params'!N10</f>
        <v>0</v>
      </c>
      <c r="AE14" s="665">
        <f>'Model 2 Params'!O10</f>
        <v>0</v>
      </c>
      <c r="AF14" s="665">
        <f>'Model 2 Params'!P10</f>
        <v>0</v>
      </c>
      <c r="AG14" s="312"/>
      <c r="AH14" s="426"/>
      <c r="AI14" s="415"/>
      <c r="AJ14" s="311"/>
      <c r="AK14" s="311"/>
      <c r="AL14" s="311"/>
      <c r="AM14" s="652" t="s">
        <v>67</v>
      </c>
      <c r="AN14" s="722" t="s">
        <v>294</v>
      </c>
      <c r="AO14" s="665">
        <f>'Model 3 Params'!N10</f>
        <v>0</v>
      </c>
      <c r="AP14" s="665">
        <f>'Model 3 Params'!O10</f>
        <v>0</v>
      </c>
      <c r="AQ14" s="665">
        <f>'Model 3 Params'!P10</f>
        <v>0</v>
      </c>
      <c r="AR14" s="665"/>
      <c r="AS14" s="426"/>
      <c r="AT14" s="415"/>
      <c r="AU14" s="311"/>
      <c r="AV14" s="311"/>
      <c r="AW14" s="311"/>
      <c r="AX14" s="652" t="s">
        <v>67</v>
      </c>
      <c r="AY14" s="722" t="s">
        <v>294</v>
      </c>
      <c r="AZ14" s="665">
        <f>'Model 4 Params'!N10</f>
        <v>0</v>
      </c>
      <c r="BA14" s="665">
        <f>'Model 4 Params'!O10</f>
        <v>0</v>
      </c>
      <c r="BB14" s="665">
        <f>'Model 4 Params'!P10</f>
        <v>0</v>
      </c>
      <c r="BC14" s="312"/>
    </row>
    <row r="15" spans="1:55" ht="15" customHeight="1">
      <c r="A15" s="415"/>
      <c r="B15" s="415" t="s">
        <v>67</v>
      </c>
      <c r="C15" s="710">
        <f>Diagnoses!G23</f>
        <v>0</v>
      </c>
      <c r="D15" s="666">
        <f>Diagnoses!G35</f>
        <v>0</v>
      </c>
      <c r="E15" s="667"/>
      <c r="F15" s="659"/>
      <c r="G15" s="426" t="s">
        <v>67</v>
      </c>
      <c r="H15" s="717">
        <f>'Baseline Params'!N5</f>
        <v>0</v>
      </c>
      <c r="I15" s="661">
        <f>'Baseline Params'!O5</f>
        <v>0</v>
      </c>
      <c r="J15" s="661">
        <f>'Baseline Params'!P5</f>
        <v>0</v>
      </c>
      <c r="K15" s="416"/>
      <c r="L15" s="426"/>
      <c r="M15" s="415"/>
      <c r="N15" s="642"/>
      <c r="O15" s="642"/>
      <c r="P15" s="642"/>
      <c r="Q15" s="652"/>
      <c r="R15" s="415"/>
      <c r="S15" s="662"/>
      <c r="T15" s="662"/>
      <c r="U15" s="662"/>
      <c r="V15" s="287"/>
      <c r="W15" s="426"/>
      <c r="X15" s="415"/>
      <c r="Y15" s="642"/>
      <c r="Z15" s="642"/>
      <c r="AA15" s="642"/>
      <c r="AB15" s="652"/>
      <c r="AC15" s="415"/>
      <c r="AD15" s="662"/>
      <c r="AE15" s="662"/>
      <c r="AF15" s="662"/>
      <c r="AG15" s="312"/>
      <c r="AH15" s="287"/>
      <c r="AI15" s="287"/>
      <c r="AJ15" s="287"/>
      <c r="AK15" s="287"/>
      <c r="AL15" s="287"/>
      <c r="AM15" s="287"/>
      <c r="AN15" s="287"/>
      <c r="AO15" s="287"/>
      <c r="AP15" s="287"/>
      <c r="AQ15" s="287"/>
      <c r="AR15" s="287"/>
      <c r="AS15" s="426"/>
      <c r="AT15" s="415"/>
      <c r="AU15" s="642"/>
      <c r="AV15" s="642"/>
      <c r="AW15" s="642"/>
      <c r="AX15" s="652"/>
      <c r="AY15" s="415"/>
      <c r="AZ15" s="662"/>
      <c r="BA15" s="662"/>
      <c r="BB15" s="662"/>
      <c r="BC15" s="312"/>
    </row>
    <row r="16" spans="1:55" ht="15" customHeight="1">
      <c r="A16" s="287"/>
      <c r="B16" s="415"/>
      <c r="C16" s="415"/>
      <c r="D16" s="659"/>
      <c r="E16" s="659"/>
      <c r="F16" s="659"/>
      <c r="G16" s="416"/>
      <c r="H16" s="416"/>
      <c r="I16" s="416"/>
      <c r="J16" s="416"/>
      <c r="K16" s="287"/>
      <c r="L16" s="287"/>
      <c r="M16" s="287"/>
      <c r="N16" s="287"/>
      <c r="O16" s="287"/>
      <c r="P16" s="287"/>
      <c r="Q16" s="287"/>
      <c r="R16" s="287"/>
      <c r="S16" s="287"/>
      <c r="T16" s="287"/>
      <c r="U16" s="287"/>
      <c r="V16" s="287"/>
      <c r="W16" s="287"/>
      <c r="X16" s="287"/>
      <c r="Y16" s="287"/>
      <c r="Z16" s="287"/>
      <c r="AA16" s="287"/>
      <c r="AB16" s="287"/>
      <c r="AC16" s="287"/>
      <c r="AD16" s="287"/>
      <c r="AE16" s="287"/>
      <c r="AF16" s="287"/>
      <c r="AG16" s="287"/>
      <c r="AH16" s="426"/>
      <c r="AI16" s="415"/>
      <c r="AJ16" s="642"/>
      <c r="AK16" s="642"/>
      <c r="AL16" s="642"/>
      <c r="AM16" s="652"/>
      <c r="AN16" s="415"/>
      <c r="AO16" s="662"/>
      <c r="AP16" s="662"/>
      <c r="AQ16" s="662"/>
      <c r="AR16" s="312"/>
      <c r="AS16" s="287"/>
      <c r="AT16" s="287"/>
      <c r="AU16" s="287"/>
      <c r="AV16" s="287"/>
      <c r="AW16" s="287"/>
      <c r="AX16" s="287"/>
      <c r="AY16" s="287"/>
      <c r="AZ16" s="287"/>
      <c r="BA16" s="287"/>
      <c r="BB16" s="287"/>
      <c r="BC16" s="287"/>
    </row>
    <row r="17" spans="1:58" ht="15" customHeight="1">
      <c r="A17" s="287"/>
      <c r="B17" s="287"/>
      <c r="C17" s="287"/>
      <c r="D17" s="287"/>
      <c r="E17" s="287"/>
      <c r="F17" s="287"/>
      <c r="G17" s="287"/>
      <c r="H17" s="287"/>
      <c r="I17" s="287"/>
      <c r="J17" s="287"/>
      <c r="K17" s="287"/>
      <c r="L17" s="139" t="s">
        <v>251</v>
      </c>
      <c r="M17" s="139"/>
      <c r="N17" s="139"/>
      <c r="O17" s="139"/>
      <c r="P17" s="139"/>
      <c r="Q17" s="139"/>
      <c r="R17" s="139"/>
      <c r="S17" s="139"/>
      <c r="T17" s="139"/>
      <c r="U17" s="139"/>
      <c r="V17" s="139"/>
      <c r="W17" s="139" t="s">
        <v>251</v>
      </c>
      <c r="X17" s="139"/>
      <c r="Y17" s="139"/>
      <c r="Z17" s="139"/>
      <c r="AA17" s="139"/>
      <c r="AB17" s="139"/>
      <c r="AC17" s="139"/>
      <c r="AD17" s="139"/>
      <c r="AE17" s="139"/>
      <c r="AF17" s="139"/>
      <c r="AG17" s="139"/>
      <c r="AH17" s="139" t="s">
        <v>251</v>
      </c>
      <c r="AI17" s="139"/>
      <c r="AJ17" s="139"/>
      <c r="AK17" s="139"/>
      <c r="AL17" s="139"/>
      <c r="AM17" s="139"/>
      <c r="AN17" s="139"/>
      <c r="AO17" s="139"/>
      <c r="AP17" s="139"/>
      <c r="AQ17" s="139"/>
      <c r="AR17" s="139"/>
      <c r="AS17" s="139" t="s">
        <v>251</v>
      </c>
      <c r="AT17" s="139"/>
      <c r="AU17" s="139"/>
      <c r="AV17" s="139"/>
      <c r="AW17" s="139"/>
      <c r="AX17" s="139"/>
      <c r="AY17" s="139"/>
      <c r="AZ17" s="139"/>
      <c r="BA17" s="139"/>
      <c r="BB17" s="139"/>
      <c r="BC17" s="139"/>
    </row>
    <row r="18" spans="1:58" ht="15" customHeight="1">
      <c r="A18" s="288" t="s">
        <v>282</v>
      </c>
      <c r="B18" s="288"/>
      <c r="C18" s="288"/>
      <c r="D18" s="288"/>
      <c r="E18" s="288"/>
      <c r="F18" s="288"/>
      <c r="G18" s="288" t="s">
        <v>278</v>
      </c>
      <c r="H18" s="288"/>
      <c r="I18" s="288"/>
      <c r="J18" s="288"/>
      <c r="K18" s="288"/>
      <c r="L18" s="287"/>
      <c r="M18" s="287"/>
      <c r="N18" s="287"/>
      <c r="O18" s="287"/>
      <c r="P18" s="287"/>
      <c r="Q18" s="287"/>
      <c r="R18" s="287"/>
      <c r="S18" s="287"/>
      <c r="T18" s="287"/>
      <c r="U18" s="287"/>
      <c r="V18" s="679"/>
      <c r="W18" s="287"/>
      <c r="X18" s="287"/>
      <c r="Y18" s="287"/>
      <c r="Z18" s="287"/>
      <c r="AA18" s="287"/>
      <c r="AB18" s="287"/>
      <c r="AC18" s="287"/>
      <c r="AD18" s="287"/>
      <c r="AE18" s="287"/>
      <c r="AF18" s="287"/>
      <c r="AG18" s="287"/>
      <c r="AH18" s="287"/>
      <c r="AI18" s="287"/>
      <c r="AJ18" s="287"/>
      <c r="AK18" s="287"/>
      <c r="AL18" s="287"/>
      <c r="AM18" s="287"/>
      <c r="AN18" s="287"/>
      <c r="AO18" s="287"/>
      <c r="AP18" s="287"/>
      <c r="AQ18" s="287"/>
      <c r="AR18" s="287"/>
      <c r="AS18" s="287"/>
      <c r="AT18" s="287"/>
      <c r="AU18" s="287"/>
      <c r="AV18" s="287"/>
      <c r="AW18" s="287"/>
      <c r="AX18" s="287"/>
      <c r="AY18" s="287"/>
      <c r="AZ18" s="287"/>
      <c r="BA18" s="287"/>
      <c r="BB18" s="287"/>
      <c r="BC18" s="287"/>
    </row>
    <row r="19" spans="1:58" ht="15" customHeight="1">
      <c r="A19" s="288"/>
      <c r="B19" s="288"/>
      <c r="C19" s="410" t="s">
        <v>4</v>
      </c>
      <c r="D19" s="410" t="s">
        <v>5</v>
      </c>
      <c r="E19" s="410" t="s">
        <v>79</v>
      </c>
      <c r="F19" s="288"/>
      <c r="G19" s="288"/>
      <c r="H19" s="288"/>
      <c r="I19" s="410" t="s">
        <v>4</v>
      </c>
      <c r="J19" s="410" t="s">
        <v>5</v>
      </c>
      <c r="K19" s="410" t="s">
        <v>79</v>
      </c>
      <c r="L19" s="678" t="s">
        <v>253</v>
      </c>
      <c r="M19" s="287"/>
      <c r="N19" s="287"/>
      <c r="O19" s="287"/>
      <c r="P19" s="287"/>
      <c r="Q19" s="652" t="s">
        <v>42</v>
      </c>
      <c r="R19" s="652" t="s">
        <v>43</v>
      </c>
      <c r="S19" s="652" t="s">
        <v>39</v>
      </c>
      <c r="T19" s="679"/>
      <c r="U19" s="287"/>
      <c r="V19" s="680"/>
      <c r="W19" s="288"/>
      <c r="X19" s="288"/>
      <c r="Y19" s="288"/>
      <c r="Z19" s="288"/>
      <c r="AA19" s="288"/>
      <c r="AB19" s="652" t="s">
        <v>42</v>
      </c>
      <c r="AC19" s="652" t="s">
        <v>43</v>
      </c>
      <c r="AD19" s="652" t="s">
        <v>39</v>
      </c>
      <c r="AE19" s="652"/>
      <c r="AF19" s="287"/>
      <c r="AG19" s="679"/>
      <c r="AH19" s="428"/>
      <c r="AI19" s="428"/>
      <c r="AJ19" s="428"/>
      <c r="AK19" s="428"/>
      <c r="AL19" s="428"/>
      <c r="AM19" s="652" t="s">
        <v>42</v>
      </c>
      <c r="AN19" s="652" t="s">
        <v>43</v>
      </c>
      <c r="AO19" s="652" t="s">
        <v>39</v>
      </c>
      <c r="AP19" s="679"/>
      <c r="AQ19" s="287"/>
      <c r="AR19" s="679"/>
      <c r="AS19" s="428"/>
      <c r="AT19" s="428"/>
      <c r="AU19" s="428"/>
      <c r="AV19" s="428"/>
      <c r="AW19" s="428"/>
      <c r="AX19" s="652" t="s">
        <v>42</v>
      </c>
      <c r="AY19" s="652" t="s">
        <v>43</v>
      </c>
      <c r="AZ19" s="652" t="s">
        <v>39</v>
      </c>
      <c r="BA19" s="679"/>
      <c r="BB19" s="287"/>
      <c r="BC19" s="679"/>
    </row>
    <row r="20" spans="1:58" ht="15" customHeight="1">
      <c r="A20" s="654" t="s">
        <v>65</v>
      </c>
      <c r="B20" s="719" t="s">
        <v>293</v>
      </c>
      <c r="C20" s="661">
        <f>'Baseline Params'!H7</f>
        <v>0</v>
      </c>
      <c r="D20" s="661">
        <f>'Baseline Params'!I7</f>
        <v>0</v>
      </c>
      <c r="E20" s="661">
        <f>'Baseline Params'!J7</f>
        <v>0</v>
      </c>
      <c r="F20" s="288"/>
      <c r="G20" s="654" t="s">
        <v>65</v>
      </c>
      <c r="H20" s="719" t="s">
        <v>293</v>
      </c>
      <c r="I20" s="662">
        <f>'Baseline Params'!H11</f>
        <v>0</v>
      </c>
      <c r="J20" s="662">
        <f>'Baseline Params'!I11</f>
        <v>0</v>
      </c>
      <c r="K20" s="662">
        <f>'Baseline Params'!J11</f>
        <v>0</v>
      </c>
      <c r="L20" s="287"/>
      <c r="M20" s="678"/>
      <c r="N20" s="287"/>
      <c r="O20" s="657"/>
      <c r="P20" s="657" t="s">
        <v>155</v>
      </c>
      <c r="Q20" s="693">
        <f>Results!C15</f>
        <v>0</v>
      </c>
      <c r="R20" s="693">
        <f>Results!D15</f>
        <v>0</v>
      </c>
      <c r="S20" s="693">
        <f>Results!E15</f>
        <v>0</v>
      </c>
      <c r="T20" s="693"/>
      <c r="U20" s="287"/>
      <c r="V20" s="680"/>
      <c r="W20" s="728" t="s">
        <v>253</v>
      </c>
      <c r="X20" s="728"/>
      <c r="Y20" s="425"/>
      <c r="Z20" s="408"/>
      <c r="AA20" s="423" t="s">
        <v>155</v>
      </c>
      <c r="AB20" s="693">
        <f>Results!C23</f>
        <v>0</v>
      </c>
      <c r="AC20" s="693">
        <f>Results!D23</f>
        <v>0</v>
      </c>
      <c r="AD20" s="693">
        <f>Results!E23</f>
        <v>0</v>
      </c>
      <c r="AE20" s="693"/>
      <c r="AF20" s="287"/>
      <c r="AG20" s="693"/>
      <c r="AH20" s="728" t="s">
        <v>253</v>
      </c>
      <c r="AI20" s="728"/>
      <c r="AJ20" s="424"/>
      <c r="AK20" s="408"/>
      <c r="AL20" s="423" t="s">
        <v>155</v>
      </c>
      <c r="AM20" s="693">
        <f>Results!C31</f>
        <v>0</v>
      </c>
      <c r="AN20" s="693">
        <f>Results!D31</f>
        <v>0</v>
      </c>
      <c r="AO20" s="693">
        <f>Results!E31</f>
        <v>0</v>
      </c>
      <c r="AP20" s="693"/>
      <c r="AQ20" s="287"/>
      <c r="AR20" s="693"/>
      <c r="AS20" s="728" t="s">
        <v>253</v>
      </c>
      <c r="AT20" s="728"/>
      <c r="AU20" s="424"/>
      <c r="AV20" s="414"/>
      <c r="AW20" s="653" t="s">
        <v>155</v>
      </c>
      <c r="AX20" s="693">
        <f>Results!C39</f>
        <v>0</v>
      </c>
      <c r="AY20" s="693">
        <f>Results!D39</f>
        <v>0</v>
      </c>
      <c r="AZ20" s="693">
        <f>Results!E39</f>
        <v>0</v>
      </c>
      <c r="BA20" s="693"/>
      <c r="BB20" s="287"/>
      <c r="BC20" s="693"/>
    </row>
    <row r="21" spans="1:58" ht="15" customHeight="1">
      <c r="A21" s="654"/>
      <c r="B21" s="719" t="s">
        <v>283</v>
      </c>
      <c r="C21" s="661">
        <f>'Baseline Params'!H8</f>
        <v>0</v>
      </c>
      <c r="D21" s="661">
        <f>'Baseline Params'!I8</f>
        <v>0</v>
      </c>
      <c r="E21" s="661">
        <f>'Baseline Params'!J8</f>
        <v>0</v>
      </c>
      <c r="F21" s="288"/>
      <c r="G21" s="654"/>
      <c r="H21" s="719" t="s">
        <v>283</v>
      </c>
      <c r="I21" s="662">
        <f>'Baseline Params'!H12</f>
        <v>0</v>
      </c>
      <c r="J21" s="662">
        <f>'Baseline Params'!I12</f>
        <v>0</v>
      </c>
      <c r="K21" s="662">
        <f>'Baseline Params'!J12</f>
        <v>0</v>
      </c>
      <c r="L21" s="678"/>
      <c r="M21" s="678"/>
      <c r="O21" s="657"/>
      <c r="P21" s="657" t="s">
        <v>156</v>
      </c>
      <c r="Q21" s="693">
        <f>Results!C16</f>
        <v>0</v>
      </c>
      <c r="R21" s="693">
        <f>Results!D16</f>
        <v>0</v>
      </c>
      <c r="S21" s="693">
        <f>Results!E16</f>
        <v>0</v>
      </c>
      <c r="T21" s="693"/>
      <c r="U21" s="287"/>
      <c r="V21" s="286"/>
      <c r="W21" s="728"/>
      <c r="X21" s="728"/>
      <c r="Y21" s="425"/>
      <c r="Z21" s="193"/>
      <c r="AA21" s="423" t="s">
        <v>156</v>
      </c>
      <c r="AB21" s="693">
        <f>Results!C24</f>
        <v>0</v>
      </c>
      <c r="AC21" s="693">
        <f>Results!D24</f>
        <v>0</v>
      </c>
      <c r="AD21" s="693">
        <f>Results!E24</f>
        <v>0</v>
      </c>
      <c r="AE21" s="693"/>
      <c r="AF21" s="287"/>
      <c r="AG21" s="693"/>
      <c r="AH21" s="728"/>
      <c r="AI21" s="728"/>
      <c r="AJ21" s="424"/>
      <c r="AK21" s="193"/>
      <c r="AL21" s="423" t="s">
        <v>156</v>
      </c>
      <c r="AM21" s="693">
        <f>Results!C32</f>
        <v>0</v>
      </c>
      <c r="AN21" s="693">
        <f>Results!D32</f>
        <v>0</v>
      </c>
      <c r="AO21" s="693">
        <f>Results!E32</f>
        <v>0</v>
      </c>
      <c r="AP21" s="693"/>
      <c r="AQ21" s="287"/>
      <c r="AR21" s="693"/>
      <c r="AS21" s="728"/>
      <c r="AT21" s="728"/>
      <c r="AU21" s="424"/>
      <c r="AV21" s="416"/>
      <c r="AW21" s="653" t="s">
        <v>156</v>
      </c>
      <c r="AX21" s="693">
        <f>Results!C40</f>
        <v>0</v>
      </c>
      <c r="AY21" s="693">
        <f>Results!D40</f>
        <v>0</v>
      </c>
      <c r="AZ21" s="693">
        <f>Results!E40</f>
        <v>0</v>
      </c>
      <c r="BA21" s="693"/>
      <c r="BB21" s="287"/>
      <c r="BC21" s="693"/>
    </row>
    <row r="22" spans="1:58" ht="15" customHeight="1">
      <c r="A22" s="411"/>
      <c r="B22" s="720" t="s">
        <v>284</v>
      </c>
      <c r="C22" s="661">
        <f>'Baseline Params'!H9</f>
        <v>0</v>
      </c>
      <c r="D22" s="661">
        <f>'Baseline Params'!I9</f>
        <v>0</v>
      </c>
      <c r="E22" s="661">
        <f>'Baseline Params'!J9</f>
        <v>0</v>
      </c>
      <c r="F22" s="288"/>
      <c r="G22" s="411"/>
      <c r="H22" s="720" t="s">
        <v>284</v>
      </c>
      <c r="I22" s="662">
        <f>'Baseline Params'!H13</f>
        <v>0</v>
      </c>
      <c r="J22" s="662">
        <f>'Baseline Params'!I13</f>
        <v>0</v>
      </c>
      <c r="K22" s="662">
        <f>'Baseline Params'!J13</f>
        <v>0</v>
      </c>
      <c r="L22" s="678"/>
      <c r="M22" s="678"/>
      <c r="N22" s="287"/>
      <c r="O22" s="289" t="s">
        <v>160</v>
      </c>
      <c r="Q22" s="694"/>
      <c r="R22" s="694"/>
      <c r="S22" s="694"/>
      <c r="T22" s="694"/>
      <c r="U22" s="287"/>
      <c r="V22" s="680"/>
      <c r="W22" s="728"/>
      <c r="X22" s="728"/>
      <c r="Y22" s="287"/>
      <c r="Z22" s="289" t="s">
        <v>160</v>
      </c>
      <c r="AB22" s="694"/>
      <c r="AC22" s="694"/>
      <c r="AD22" s="694"/>
      <c r="AE22" s="694"/>
      <c r="AF22" s="287"/>
      <c r="AG22" s="694"/>
      <c r="AH22" s="728"/>
      <c r="AI22" s="728"/>
      <c r="AJ22" s="287"/>
      <c r="AK22" s="289" t="s">
        <v>160</v>
      </c>
      <c r="AM22" s="694"/>
      <c r="AN22" s="694"/>
      <c r="AO22" s="694"/>
      <c r="AP22" s="694"/>
      <c r="AQ22" s="287"/>
      <c r="AR22" s="694"/>
      <c r="AS22" s="728"/>
      <c r="AT22" s="728"/>
      <c r="AU22" s="288"/>
      <c r="AV22" s="707" t="s">
        <v>287</v>
      </c>
      <c r="AW22" s="409"/>
      <c r="AX22" s="694"/>
      <c r="AY22" s="694"/>
      <c r="AZ22" s="694"/>
      <c r="BA22" s="694"/>
      <c r="BB22" s="287"/>
      <c r="BC22" s="694"/>
    </row>
    <row r="23" spans="1:58" ht="15" customHeight="1">
      <c r="A23" s="412" t="s">
        <v>95</v>
      </c>
      <c r="B23" s="721" t="s">
        <v>293</v>
      </c>
      <c r="C23" s="663">
        <f>'Baseline Params'!K7</f>
        <v>0</v>
      </c>
      <c r="D23" s="663">
        <f>'Baseline Params'!L7</f>
        <v>0</v>
      </c>
      <c r="E23" s="663">
        <f>'Baseline Params'!M7</f>
        <v>0</v>
      </c>
      <c r="F23" s="288"/>
      <c r="G23" s="412" t="s">
        <v>95</v>
      </c>
      <c r="H23" s="721" t="s">
        <v>293</v>
      </c>
      <c r="I23" s="664">
        <f>'Baseline Params'!K11</f>
        <v>0</v>
      </c>
      <c r="J23" s="664">
        <f>'Baseline Params'!L11</f>
        <v>0</v>
      </c>
      <c r="K23" s="664">
        <f>'Baseline Params'!M11</f>
        <v>0</v>
      </c>
      <c r="L23" s="425"/>
      <c r="M23" s="287"/>
      <c r="O23" s="677"/>
      <c r="P23" s="657" t="s">
        <v>154</v>
      </c>
      <c r="Q23" s="693">
        <f>Results!C17</f>
        <v>0</v>
      </c>
      <c r="R23" s="693">
        <f>Results!D17</f>
        <v>0</v>
      </c>
      <c r="S23" s="693">
        <f>Results!E17</f>
        <v>0</v>
      </c>
      <c r="T23" s="693"/>
      <c r="V23" s="681"/>
      <c r="W23" s="287"/>
      <c r="X23" s="287"/>
      <c r="Y23" s="678"/>
      <c r="Z23" s="678"/>
      <c r="AA23" s="653" t="s">
        <v>154</v>
      </c>
      <c r="AB23" s="693">
        <f>Results!C25</f>
        <v>0</v>
      </c>
      <c r="AC23" s="693">
        <f>Results!D25</f>
        <v>0</v>
      </c>
      <c r="AD23" s="693">
        <f>Results!E25</f>
        <v>0</v>
      </c>
      <c r="AE23" s="693"/>
      <c r="AF23" s="287"/>
      <c r="AG23" s="693"/>
      <c r="AH23" s="287"/>
      <c r="AI23" s="287"/>
      <c r="AJ23" s="678"/>
      <c r="AK23" s="678"/>
      <c r="AL23" s="653" t="s">
        <v>154</v>
      </c>
      <c r="AM23" s="693">
        <f>Results!C33</f>
        <v>0</v>
      </c>
      <c r="AN23" s="693">
        <f>Results!D33</f>
        <v>0</v>
      </c>
      <c r="AO23" s="693">
        <f>Results!E33</f>
        <v>0</v>
      </c>
      <c r="AP23" s="693"/>
      <c r="AQ23" s="287"/>
      <c r="AR23" s="693"/>
      <c r="AS23" s="288"/>
      <c r="AT23" s="288"/>
      <c r="AU23" s="678"/>
      <c r="AV23" s="678"/>
      <c r="AW23" s="653" t="s">
        <v>154</v>
      </c>
      <c r="AX23" s="693">
        <f>Results!C41</f>
        <v>0</v>
      </c>
      <c r="AY23" s="693">
        <f>Results!D41</f>
        <v>0</v>
      </c>
      <c r="AZ23" s="693">
        <f>Results!E41</f>
        <v>0</v>
      </c>
      <c r="BA23" s="693"/>
      <c r="BB23" s="287"/>
      <c r="BC23" s="693"/>
    </row>
    <row r="24" spans="1:58" ht="15" customHeight="1">
      <c r="A24" s="668" t="s">
        <v>67</v>
      </c>
      <c r="B24" s="722" t="s">
        <v>294</v>
      </c>
      <c r="C24" s="669">
        <f>'Baseline Params'!N6</f>
        <v>0</v>
      </c>
      <c r="D24" s="669">
        <f>'Baseline Params'!O6</f>
        <v>0</v>
      </c>
      <c r="E24" s="669">
        <f>'Baseline Params'!P6</f>
        <v>0</v>
      </c>
      <c r="F24" s="288"/>
      <c r="G24" s="652" t="s">
        <v>67</v>
      </c>
      <c r="H24" s="722" t="s">
        <v>294</v>
      </c>
      <c r="I24" s="665">
        <f>'Baseline Params'!N10</f>
        <v>0</v>
      </c>
      <c r="J24" s="665">
        <f>'Baseline Params'!O10</f>
        <v>0</v>
      </c>
      <c r="K24" s="665">
        <f>'Baseline Params'!P10</f>
        <v>0</v>
      </c>
      <c r="L24" s="425"/>
      <c r="M24" s="287"/>
      <c r="N24" s="677"/>
      <c r="O24" s="677"/>
      <c r="P24" s="657" t="s">
        <v>277</v>
      </c>
      <c r="Q24" s="695">
        <f>Results!C18</f>
        <v>0</v>
      </c>
      <c r="R24" s="695">
        <f>Results!D18</f>
        <v>0</v>
      </c>
      <c r="S24" s="695">
        <f>Results!E18</f>
        <v>0</v>
      </c>
      <c r="T24" s="695"/>
      <c r="U24" s="287"/>
      <c r="V24" s="287"/>
      <c r="W24" s="287"/>
      <c r="X24" s="287"/>
      <c r="Y24" s="678"/>
      <c r="Z24" s="678"/>
      <c r="AA24" s="653" t="s">
        <v>277</v>
      </c>
      <c r="AB24" s="695">
        <f>Results!C26</f>
        <v>0</v>
      </c>
      <c r="AC24" s="695">
        <f>Results!D26</f>
        <v>0</v>
      </c>
      <c r="AD24" s="695">
        <f>Results!E26</f>
        <v>0</v>
      </c>
      <c r="AE24" s="695"/>
      <c r="AG24" s="695"/>
      <c r="AH24" s="287"/>
      <c r="AI24" s="287"/>
      <c r="AJ24" s="678"/>
      <c r="AK24" s="678"/>
      <c r="AL24" s="653" t="s">
        <v>277</v>
      </c>
      <c r="AM24" s="695">
        <f>Results!C34</f>
        <v>0</v>
      </c>
      <c r="AN24" s="695">
        <f>Results!D34</f>
        <v>0</v>
      </c>
      <c r="AO24" s="695">
        <f>Results!E34</f>
        <v>0</v>
      </c>
      <c r="AP24" s="695"/>
      <c r="AR24" s="695"/>
      <c r="AS24" s="288"/>
      <c r="AT24" s="288"/>
      <c r="AU24" s="678"/>
      <c r="AV24" s="678"/>
      <c r="AW24" s="653" t="s">
        <v>277</v>
      </c>
      <c r="AX24" s="695">
        <f>Results!C42</f>
        <v>0</v>
      </c>
      <c r="AY24" s="695">
        <f>Results!D42</f>
        <v>0</v>
      </c>
      <c r="AZ24" s="695">
        <f>Results!E42</f>
        <v>0</v>
      </c>
      <c r="BA24" s="695"/>
      <c r="BB24" s="287"/>
      <c r="BC24" s="695"/>
      <c r="BD24" s="409"/>
      <c r="BE24" s="409"/>
      <c r="BF24" s="409"/>
    </row>
    <row r="25" spans="1:58" ht="15" customHeight="1">
      <c r="A25" s="287"/>
      <c r="B25" s="287"/>
      <c r="C25" s="287"/>
      <c r="D25" s="287"/>
      <c r="E25" s="287"/>
      <c r="F25" s="287"/>
      <c r="G25" s="287"/>
      <c r="H25" s="287"/>
      <c r="I25" s="287"/>
      <c r="J25" s="287"/>
      <c r="K25" s="287"/>
      <c r="L25" s="287"/>
      <c r="M25" s="287"/>
      <c r="N25" s="677"/>
      <c r="O25" s="677"/>
      <c r="P25" s="677"/>
      <c r="Q25" s="288"/>
      <c r="R25" s="288"/>
      <c r="S25" s="288"/>
      <c r="T25" s="288"/>
      <c r="U25" s="287"/>
      <c r="V25" s="287"/>
      <c r="W25" s="287"/>
      <c r="X25" s="287"/>
      <c r="Y25" s="678"/>
      <c r="Z25" s="678"/>
      <c r="AA25" s="678"/>
      <c r="AB25" s="287"/>
      <c r="AC25" s="287"/>
      <c r="AD25" s="287"/>
      <c r="AE25" s="287"/>
      <c r="AF25" s="287"/>
      <c r="AG25" s="287"/>
      <c r="AH25" s="287"/>
      <c r="AI25" s="287"/>
      <c r="AJ25" s="678"/>
      <c r="AK25" s="678"/>
      <c r="AL25" s="678"/>
      <c r="AM25" s="708"/>
      <c r="AN25" s="708"/>
      <c r="AO25" s="708"/>
      <c r="AP25" s="708"/>
      <c r="AQ25" s="708"/>
      <c r="AR25" s="708"/>
      <c r="AS25" s="288"/>
      <c r="AT25" s="288"/>
      <c r="AU25" s="678"/>
      <c r="AV25" s="678"/>
      <c r="AW25" s="678"/>
      <c r="AX25" s="288"/>
      <c r="AY25" s="288"/>
      <c r="AZ25" s="288"/>
      <c r="BA25" s="288"/>
      <c r="BC25" s="288"/>
      <c r="BD25" s="409"/>
      <c r="BE25" s="409"/>
      <c r="BF25" s="409"/>
    </row>
    <row r="26" spans="1:58" ht="15" customHeight="1">
      <c r="A26" s="740" t="s">
        <v>295</v>
      </c>
      <c r="B26" s="740"/>
      <c r="C26" s="740"/>
      <c r="D26" s="740"/>
      <c r="E26" s="740"/>
      <c r="F26" s="740"/>
      <c r="G26" s="740"/>
      <c r="H26" s="740"/>
      <c r="I26" s="740"/>
      <c r="J26" s="740"/>
      <c r="K26" s="740"/>
      <c r="L26" s="287"/>
      <c r="M26" s="287"/>
      <c r="N26" s="287"/>
      <c r="O26" s="287"/>
      <c r="P26" s="287"/>
      <c r="Q26" s="287"/>
      <c r="R26" s="287"/>
      <c r="S26" s="287"/>
      <c r="T26" s="287"/>
      <c r="U26" s="287"/>
      <c r="V26" s="287"/>
      <c r="W26" s="287"/>
      <c r="X26" s="287"/>
      <c r="Y26" s="678"/>
      <c r="Z26" s="678"/>
      <c r="AA26" s="678"/>
      <c r="AB26" s="287"/>
      <c r="AC26" s="287"/>
      <c r="AD26" s="287"/>
      <c r="AE26" s="287"/>
      <c r="AF26" s="287"/>
      <c r="AG26" s="287"/>
      <c r="AH26" s="287"/>
      <c r="AI26" s="287"/>
      <c r="AJ26" s="678"/>
      <c r="AK26" s="678"/>
      <c r="AL26" s="678"/>
      <c r="AM26" s="708"/>
      <c r="AN26" s="708"/>
      <c r="AO26" s="708"/>
      <c r="AP26" s="708"/>
      <c r="AQ26" s="708"/>
      <c r="AR26" s="708"/>
      <c r="AS26" s="288"/>
      <c r="AT26" s="288"/>
      <c r="AU26" s="678"/>
      <c r="AV26" s="678"/>
      <c r="AW26" s="678"/>
      <c r="AX26" s="288"/>
      <c r="AY26" s="288"/>
      <c r="AZ26" s="288"/>
      <c r="BA26" s="288"/>
      <c r="BB26" s="287"/>
      <c r="BC26" s="288"/>
      <c r="BD26" s="409"/>
      <c r="BE26" s="409"/>
      <c r="BF26" s="409"/>
    </row>
    <row r="27" spans="1:58" ht="15" customHeight="1">
      <c r="A27" s="287"/>
      <c r="B27" s="287"/>
      <c r="C27" s="287"/>
      <c r="D27" s="287"/>
      <c r="E27" s="287"/>
      <c r="F27" s="287"/>
      <c r="G27" s="287"/>
      <c r="H27" s="287"/>
      <c r="I27" s="287"/>
      <c r="J27" s="287"/>
      <c r="K27" s="287"/>
      <c r="L27" s="287"/>
      <c r="M27" s="287"/>
      <c r="N27" s="287"/>
      <c r="O27" s="287"/>
      <c r="P27" s="287"/>
      <c r="Q27" s="287"/>
      <c r="R27" s="287"/>
      <c r="S27" s="287"/>
      <c r="T27" s="287"/>
      <c r="U27" s="287"/>
      <c r="V27" s="287"/>
      <c r="W27" s="287"/>
      <c r="X27" s="287"/>
      <c r="Y27" s="287"/>
      <c r="Z27" s="287"/>
      <c r="AA27" s="287"/>
      <c r="AB27" s="287"/>
      <c r="AC27" s="287"/>
      <c r="AD27" s="287"/>
      <c r="AE27" s="287"/>
      <c r="AF27" s="287"/>
      <c r="AG27" s="287"/>
      <c r="AH27" s="287"/>
      <c r="AI27" s="287"/>
      <c r="AJ27" s="287"/>
      <c r="AK27" s="287"/>
      <c r="AL27" s="287"/>
      <c r="AM27" s="287"/>
      <c r="AN27" s="287"/>
      <c r="AO27" s="287"/>
      <c r="AP27" s="287"/>
      <c r="AQ27" s="287"/>
      <c r="AR27" s="287"/>
      <c r="AS27" s="287"/>
      <c r="AT27" s="287"/>
      <c r="AU27" s="287"/>
      <c r="AV27" s="287"/>
      <c r="AW27" s="287"/>
      <c r="AX27" s="287"/>
      <c r="AY27" s="287"/>
      <c r="AZ27" s="287"/>
      <c r="BA27" s="287"/>
      <c r="BB27" s="287"/>
      <c r="BC27" s="287"/>
      <c r="BD27" s="409"/>
      <c r="BE27" s="409"/>
      <c r="BF27" s="409"/>
    </row>
    <row r="28" spans="1:58" ht="15" customHeight="1">
      <c r="A28" s="287"/>
      <c r="B28" s="287"/>
      <c r="C28" s="287"/>
      <c r="D28" s="287"/>
      <c r="E28" s="287"/>
      <c r="F28" s="287"/>
      <c r="G28" s="287"/>
      <c r="H28" s="287"/>
      <c r="I28" s="287"/>
      <c r="J28" s="287"/>
      <c r="K28" s="287"/>
      <c r="L28" s="287"/>
      <c r="M28" s="287"/>
      <c r="N28" s="287"/>
      <c r="O28" s="287"/>
      <c r="P28" s="287"/>
      <c r="Q28" s="287"/>
      <c r="R28" s="287"/>
      <c r="S28" s="287"/>
      <c r="T28" s="287"/>
      <c r="U28" s="287"/>
      <c r="V28" s="287"/>
      <c r="W28" s="287"/>
      <c r="X28" s="287"/>
      <c r="Y28" s="287"/>
      <c r="Z28" s="287"/>
      <c r="AA28" s="287"/>
      <c r="AB28" s="287"/>
      <c r="AC28" s="287"/>
      <c r="AD28" s="287"/>
      <c r="AE28" s="287"/>
      <c r="AF28" s="287"/>
      <c r="AG28" s="287"/>
      <c r="AH28" s="287"/>
      <c r="AI28" s="287"/>
      <c r="AJ28" s="287"/>
      <c r="AK28" s="287"/>
      <c r="AL28" s="287"/>
      <c r="AM28" s="287"/>
      <c r="AN28" s="287"/>
      <c r="AO28" s="287"/>
      <c r="AP28" s="287"/>
      <c r="AQ28" s="287"/>
      <c r="AR28" s="287"/>
      <c r="AS28" s="287"/>
      <c r="AT28" s="287"/>
      <c r="AU28" s="287"/>
      <c r="AV28" s="287"/>
      <c r="AW28" s="287"/>
      <c r="AX28" s="287"/>
      <c r="AY28" s="287"/>
      <c r="AZ28" s="287"/>
      <c r="BA28" s="287"/>
      <c r="BB28" s="287"/>
      <c r="BC28" s="287"/>
    </row>
    <row r="29" spans="1:58" ht="15" customHeight="1">
      <c r="A29" s="139" t="s">
        <v>251</v>
      </c>
      <c r="B29" s="139"/>
      <c r="C29" s="139"/>
      <c r="D29" s="139"/>
      <c r="E29" s="139"/>
      <c r="F29" s="139"/>
      <c r="G29" s="139"/>
      <c r="H29" s="139"/>
      <c r="I29" s="139"/>
      <c r="J29" s="139"/>
      <c r="K29" s="139"/>
      <c r="L29" s="287"/>
      <c r="M29" s="287"/>
      <c r="N29" s="287"/>
      <c r="O29" s="287"/>
      <c r="P29" s="287"/>
      <c r="Q29" s="287"/>
      <c r="R29" s="287"/>
      <c r="S29" s="287"/>
      <c r="T29" s="287"/>
      <c r="U29" s="287"/>
      <c r="V29" s="287"/>
      <c r="W29" s="287"/>
      <c r="X29" s="287"/>
      <c r="Y29" s="287"/>
      <c r="Z29" s="287"/>
      <c r="AA29" s="287"/>
      <c r="AB29" s="287"/>
      <c r="AC29" s="287"/>
      <c r="AD29" s="287"/>
      <c r="AE29" s="287"/>
      <c r="AF29" s="287"/>
      <c r="AG29" s="287"/>
      <c r="AH29" s="287"/>
      <c r="AI29" s="287"/>
      <c r="AJ29" s="287"/>
      <c r="AK29" s="287"/>
      <c r="AL29" s="287"/>
      <c r="AM29" s="287"/>
      <c r="AN29" s="287"/>
      <c r="AO29" s="287"/>
      <c r="AP29" s="287"/>
      <c r="AQ29" s="287"/>
      <c r="AR29" s="287"/>
      <c r="AS29" s="287"/>
      <c r="AT29" s="287"/>
      <c r="AU29" s="287"/>
      <c r="AV29" s="287"/>
      <c r="AW29" s="287"/>
      <c r="AX29" s="287"/>
      <c r="AY29" s="287"/>
      <c r="AZ29" s="287"/>
      <c r="BA29" s="287"/>
      <c r="BB29" s="287"/>
      <c r="BC29" s="287"/>
    </row>
    <row r="30" spans="1:58" ht="15" customHeight="1">
      <c r="A30" s="287"/>
      <c r="B30" s="287"/>
      <c r="C30" s="287"/>
      <c r="D30" s="287"/>
      <c r="E30" s="287"/>
      <c r="F30" s="287"/>
      <c r="G30" s="287"/>
      <c r="H30" s="287"/>
      <c r="I30" s="287"/>
      <c r="J30" s="287"/>
      <c r="K30" s="287"/>
      <c r="L30" s="287"/>
      <c r="M30" s="287"/>
      <c r="N30" s="287"/>
      <c r="O30" s="287"/>
      <c r="P30" s="287"/>
      <c r="Q30" s="287"/>
      <c r="R30" s="287"/>
      <c r="S30" s="287"/>
      <c r="T30" s="287"/>
      <c r="U30" s="287"/>
      <c r="V30" s="287"/>
      <c r="W30" s="287"/>
      <c r="X30" s="287"/>
      <c r="Y30" s="287"/>
      <c r="Z30" s="287"/>
      <c r="AA30" s="287"/>
      <c r="AB30" s="287"/>
      <c r="AC30" s="287"/>
      <c r="AD30" s="287"/>
      <c r="AE30" s="287"/>
      <c r="AF30" s="287"/>
      <c r="AG30" s="287"/>
      <c r="AH30" s="287"/>
      <c r="AI30" s="287"/>
      <c r="AJ30" s="287"/>
      <c r="AK30" s="287"/>
      <c r="AL30" s="287"/>
      <c r="AM30" s="287"/>
      <c r="AN30" s="287"/>
      <c r="AO30" s="287"/>
      <c r="AP30" s="287"/>
      <c r="AQ30" s="287"/>
      <c r="AR30" s="287"/>
      <c r="AS30" s="287"/>
      <c r="AT30" s="287"/>
      <c r="AU30" s="287"/>
      <c r="AV30" s="287"/>
      <c r="AW30" s="287"/>
      <c r="AX30" s="287"/>
      <c r="AY30" s="287"/>
      <c r="AZ30" s="287"/>
      <c r="BA30" s="287"/>
      <c r="BB30" s="287"/>
      <c r="BC30" s="287"/>
    </row>
    <row r="31" spans="1:58" ht="15" customHeight="1">
      <c r="A31" s="287"/>
      <c r="B31" s="287"/>
      <c r="C31" s="287"/>
      <c r="D31" s="287"/>
      <c r="E31" s="287"/>
      <c r="F31" s="657" t="s">
        <v>42</v>
      </c>
      <c r="G31" s="657" t="s">
        <v>43</v>
      </c>
      <c r="H31" s="657" t="s">
        <v>39</v>
      </c>
      <c r="I31" s="287"/>
      <c r="J31" s="679"/>
      <c r="K31" s="287"/>
      <c r="L31" s="287"/>
      <c r="M31" s="287"/>
      <c r="N31" s="287"/>
      <c r="O31" s="287"/>
      <c r="P31" s="287"/>
      <c r="Q31" s="287"/>
      <c r="R31" s="287"/>
      <c r="S31" s="287"/>
      <c r="T31" s="287"/>
      <c r="U31" s="287"/>
      <c r="V31" s="287"/>
      <c r="W31" s="287"/>
      <c r="X31" s="287"/>
      <c r="Y31" s="287"/>
      <c r="Z31" s="287"/>
      <c r="AA31" s="287"/>
      <c r="AB31" s="287"/>
      <c r="AC31" s="287"/>
      <c r="AD31" s="287"/>
      <c r="AE31" s="287"/>
      <c r="AF31" s="287"/>
      <c r="AG31" s="287"/>
      <c r="AH31" s="287"/>
      <c r="AI31" s="287"/>
      <c r="AJ31" s="287"/>
      <c r="AK31" s="287"/>
      <c r="AL31" s="287"/>
      <c r="AM31" s="287"/>
      <c r="AN31" s="287"/>
      <c r="AO31" s="287"/>
      <c r="AP31" s="287"/>
      <c r="AQ31" s="287"/>
      <c r="AR31" s="287"/>
      <c r="AS31" s="287"/>
      <c r="AT31" s="287"/>
      <c r="AU31" s="287"/>
      <c r="AV31" s="287"/>
      <c r="AW31" s="287"/>
      <c r="AX31" s="287"/>
      <c r="AY31" s="287"/>
      <c r="AZ31" s="287"/>
      <c r="BA31" s="287"/>
      <c r="BB31" s="287"/>
      <c r="BC31" s="287"/>
    </row>
    <row r="32" spans="1:58" ht="15" customHeight="1">
      <c r="A32" s="287"/>
      <c r="B32" s="287"/>
      <c r="C32" s="287"/>
      <c r="D32" s="287"/>
      <c r="E32" s="657" t="s">
        <v>249</v>
      </c>
      <c r="F32" s="718">
        <f>Results!C8</f>
        <v>0</v>
      </c>
      <c r="G32" s="718">
        <f>Results!D8</f>
        <v>0</v>
      </c>
      <c r="H32" s="718">
        <f>Results!E8</f>
        <v>0</v>
      </c>
      <c r="I32" s="287"/>
      <c r="J32" s="676"/>
      <c r="K32" s="287"/>
      <c r="L32" s="287"/>
      <c r="M32" s="287"/>
      <c r="N32" s="287"/>
      <c r="O32" s="287"/>
      <c r="P32" s="287"/>
      <c r="Q32" s="287"/>
      <c r="R32" s="287"/>
      <c r="S32" s="287"/>
      <c r="T32" s="287"/>
      <c r="U32" s="287"/>
      <c r="V32" s="287"/>
      <c r="W32" s="287"/>
      <c r="X32" s="287"/>
      <c r="Y32" s="287"/>
      <c r="Z32" s="287"/>
      <c r="AA32" s="287"/>
      <c r="AB32" s="287"/>
      <c r="AC32" s="287"/>
      <c r="AD32" s="287"/>
      <c r="AE32" s="287"/>
      <c r="AF32" s="287"/>
      <c r="AG32" s="287"/>
      <c r="AH32" s="287"/>
      <c r="AI32" s="287"/>
      <c r="AJ32" s="287"/>
      <c r="AK32" s="287"/>
      <c r="AL32" s="287"/>
      <c r="AM32" s="287"/>
      <c r="AN32" s="287"/>
      <c r="AO32" s="287"/>
      <c r="AP32" s="287"/>
      <c r="AQ32" s="287"/>
      <c r="AR32" s="287"/>
      <c r="AS32" s="287"/>
      <c r="AT32" s="287"/>
      <c r="AU32" s="287"/>
      <c r="AV32" s="287"/>
      <c r="AW32" s="287"/>
      <c r="AX32" s="287"/>
      <c r="AY32" s="287"/>
      <c r="AZ32" s="287"/>
      <c r="BA32" s="287"/>
      <c r="BB32" s="287"/>
      <c r="BC32" s="287"/>
    </row>
    <row r="33" spans="1:56" ht="15" customHeight="1">
      <c r="A33" s="287"/>
      <c r="B33" s="287"/>
      <c r="C33" s="287"/>
      <c r="D33" s="287"/>
      <c r="E33" s="657" t="s">
        <v>250</v>
      </c>
      <c r="F33" s="718">
        <f>Results!C9</f>
        <v>0</v>
      </c>
      <c r="G33" s="718">
        <f>Results!D9</f>
        <v>0</v>
      </c>
      <c r="H33" s="718">
        <f>Results!E9</f>
        <v>0</v>
      </c>
      <c r="I33" s="287"/>
      <c r="J33" s="676"/>
      <c r="K33" s="287"/>
      <c r="L33" s="287"/>
      <c r="M33" s="287"/>
      <c r="N33" s="287"/>
      <c r="O33" s="287"/>
      <c r="P33" s="287"/>
      <c r="Q33" s="287"/>
      <c r="R33" s="287"/>
      <c r="S33" s="287"/>
      <c r="T33" s="287"/>
      <c r="U33" s="287"/>
      <c r="V33" s="287"/>
      <c r="W33" s="287"/>
      <c r="X33" s="287"/>
      <c r="Y33" s="287"/>
      <c r="Z33" s="287"/>
      <c r="AA33" s="287"/>
      <c r="AB33" s="287"/>
      <c r="AC33" s="287"/>
      <c r="AD33" s="287"/>
      <c r="AE33" s="287"/>
      <c r="AF33" s="287"/>
      <c r="AG33" s="287"/>
      <c r="AH33" s="287"/>
      <c r="AI33" s="287"/>
      <c r="AJ33" s="287"/>
      <c r="AK33" s="287"/>
      <c r="AL33" s="287"/>
      <c r="AM33" s="287"/>
      <c r="AN33" s="287"/>
      <c r="AO33" s="287"/>
      <c r="AP33" s="287"/>
      <c r="AQ33" s="287"/>
      <c r="AR33" s="287"/>
      <c r="AS33" s="287"/>
      <c r="AT33" s="287"/>
      <c r="AU33" s="287"/>
      <c r="AV33" s="287"/>
      <c r="AW33" s="287"/>
      <c r="AX33" s="287"/>
      <c r="AY33" s="287"/>
      <c r="AZ33" s="287"/>
      <c r="BA33" s="287"/>
      <c r="BB33" s="287"/>
      <c r="BC33" s="287"/>
    </row>
    <row r="34" spans="1:56" ht="15" customHeight="1">
      <c r="A34" s="287"/>
      <c r="B34" s="287"/>
      <c r="C34" s="287"/>
      <c r="D34" s="657"/>
      <c r="E34" s="676"/>
      <c r="F34" s="676"/>
      <c r="G34" s="676"/>
      <c r="H34" s="676"/>
      <c r="I34" s="676"/>
      <c r="J34" s="676"/>
      <c r="K34" s="287"/>
      <c r="L34" s="287"/>
      <c r="M34" s="287"/>
      <c r="N34" s="287"/>
      <c r="O34" s="287"/>
      <c r="P34" s="287"/>
      <c r="Q34" s="287"/>
      <c r="R34" s="287"/>
      <c r="S34" s="287"/>
      <c r="T34" s="287"/>
      <c r="U34" s="287"/>
      <c r="V34" s="287"/>
      <c r="W34" s="287"/>
      <c r="X34" s="287"/>
      <c r="Y34" s="287"/>
      <c r="Z34" s="287"/>
      <c r="AA34" s="287"/>
      <c r="AB34" s="287"/>
      <c r="AC34" s="287"/>
      <c r="AD34" s="287"/>
      <c r="AE34" s="287"/>
      <c r="AF34" s="287"/>
      <c r="AG34" s="287"/>
      <c r="AH34" s="287"/>
      <c r="AI34" s="287"/>
      <c r="AJ34" s="287"/>
      <c r="AK34" s="287"/>
      <c r="AL34" s="287"/>
      <c r="AM34" s="287"/>
      <c r="AN34" s="287"/>
      <c r="AO34" s="287"/>
      <c r="AP34" s="287"/>
      <c r="AQ34" s="287"/>
      <c r="AR34" s="287"/>
      <c r="AS34" s="287"/>
      <c r="AT34" s="287"/>
      <c r="AU34" s="287"/>
      <c r="AV34" s="287"/>
      <c r="AW34" s="287"/>
      <c r="AX34" s="287"/>
      <c r="AY34" s="287"/>
      <c r="AZ34" s="287"/>
      <c r="BA34" s="287"/>
      <c r="BB34" s="287"/>
      <c r="BC34" s="287"/>
      <c r="BD34" s="409"/>
    </row>
    <row r="35" spans="1:56" ht="15" customHeight="1">
      <c r="A35" s="287"/>
      <c r="B35" s="287"/>
      <c r="C35" s="287"/>
      <c r="D35" s="657"/>
      <c r="E35" s="676"/>
      <c r="F35" s="676"/>
      <c r="G35" s="676"/>
      <c r="H35" s="676"/>
      <c r="I35" s="676"/>
      <c r="J35" s="676"/>
      <c r="K35" s="287"/>
      <c r="L35" s="287"/>
      <c r="M35" s="287"/>
      <c r="N35" s="287"/>
      <c r="O35" s="287"/>
      <c r="P35" s="287"/>
      <c r="Q35" s="287"/>
      <c r="R35" s="287"/>
      <c r="S35" s="287"/>
      <c r="T35" s="287"/>
      <c r="U35" s="287"/>
      <c r="V35" s="287"/>
      <c r="W35" s="287"/>
      <c r="X35" s="287"/>
      <c r="Y35" s="287"/>
      <c r="Z35" s="287"/>
      <c r="AA35" s="287"/>
      <c r="AB35" s="287"/>
      <c r="AC35" s="287"/>
      <c r="AD35" s="287"/>
      <c r="AE35" s="287"/>
      <c r="AF35" s="287"/>
      <c r="AG35" s="287"/>
      <c r="AH35" s="287"/>
      <c r="AI35" s="287"/>
      <c r="AJ35" s="287"/>
      <c r="AK35" s="287"/>
      <c r="AL35" s="287"/>
      <c r="AM35" s="287"/>
      <c r="AN35" s="287"/>
      <c r="AO35" s="287"/>
      <c r="AP35" s="287"/>
      <c r="AQ35" s="287"/>
      <c r="AR35" s="287"/>
      <c r="AS35" s="287"/>
      <c r="AT35" s="287"/>
      <c r="AU35" s="287"/>
      <c r="AV35" s="287"/>
      <c r="AW35" s="287"/>
      <c r="AX35" s="287"/>
      <c r="AY35" s="287"/>
      <c r="AZ35" s="287"/>
      <c r="BA35" s="287"/>
      <c r="BB35" s="287"/>
      <c r="BC35" s="287"/>
      <c r="BD35" s="409"/>
    </row>
    <row r="36" spans="1:56" ht="15" customHeight="1">
      <c r="A36" s="139" t="s">
        <v>252</v>
      </c>
      <c r="B36" s="139"/>
      <c r="C36" s="139"/>
      <c r="D36" s="139"/>
      <c r="E36" s="139"/>
      <c r="F36" s="139"/>
      <c r="G36" s="139"/>
      <c r="H36" s="139"/>
      <c r="I36" s="139"/>
      <c r="J36" s="139"/>
      <c r="K36" s="139"/>
      <c r="L36" s="139" t="s">
        <v>252</v>
      </c>
      <c r="M36" s="139"/>
      <c r="N36" s="139"/>
      <c r="O36" s="139"/>
      <c r="P36" s="139"/>
      <c r="Q36" s="139"/>
      <c r="R36" s="139"/>
      <c r="S36" s="139"/>
      <c r="T36" s="139"/>
      <c r="U36" s="139"/>
      <c r="V36" s="139"/>
      <c r="W36" s="139" t="s">
        <v>252</v>
      </c>
      <c r="X36" s="139"/>
      <c r="Y36" s="139"/>
      <c r="Z36" s="139"/>
      <c r="AA36" s="139"/>
      <c r="AB36" s="139"/>
      <c r="AC36" s="139"/>
      <c r="AD36" s="139"/>
      <c r="AE36" s="139"/>
      <c r="AF36" s="139"/>
      <c r="AG36" s="139"/>
      <c r="AH36" s="139" t="s">
        <v>252</v>
      </c>
      <c r="AI36" s="139"/>
      <c r="AJ36" s="139"/>
      <c r="AK36" s="139"/>
      <c r="AL36" s="139"/>
      <c r="AM36" s="139"/>
      <c r="AN36" s="139"/>
      <c r="AO36" s="139"/>
      <c r="AP36" s="139"/>
      <c r="AQ36" s="139"/>
      <c r="AR36" s="139"/>
      <c r="AS36" s="139" t="s">
        <v>252</v>
      </c>
      <c r="AT36" s="139"/>
      <c r="AU36" s="139"/>
      <c r="AV36" s="139"/>
      <c r="AW36" s="139"/>
      <c r="AX36" s="139"/>
      <c r="AY36" s="139"/>
      <c r="AZ36" s="139"/>
      <c r="BA36" s="139"/>
      <c r="BB36" s="139"/>
      <c r="BC36" s="139"/>
      <c r="BD36" s="409"/>
    </row>
    <row r="37" spans="1:56" ht="15" customHeight="1">
      <c r="A37" s="287"/>
      <c r="B37" s="287"/>
      <c r="C37" s="287"/>
      <c r="D37" s="287"/>
      <c r="E37" s="287"/>
      <c r="F37" s="287"/>
      <c r="G37" s="287"/>
      <c r="H37" s="287"/>
      <c r="I37" s="287"/>
      <c r="J37" s="287"/>
      <c r="K37" s="287"/>
      <c r="L37" s="287"/>
      <c r="M37" s="287"/>
      <c r="N37" s="287"/>
      <c r="O37" s="287"/>
      <c r="P37" s="287"/>
      <c r="Q37" s="287"/>
      <c r="R37" s="287"/>
      <c r="S37" s="287"/>
      <c r="T37" s="287"/>
      <c r="U37" s="287"/>
      <c r="V37" s="287"/>
      <c r="W37" s="287"/>
      <c r="X37" s="287"/>
      <c r="Y37" s="287"/>
      <c r="Z37" s="287"/>
      <c r="AA37" s="287"/>
      <c r="AB37" s="287"/>
      <c r="AC37" s="287"/>
      <c r="AD37" s="287"/>
      <c r="AE37" s="287"/>
      <c r="AF37" s="287"/>
      <c r="AG37" s="287"/>
      <c r="AH37" s="287"/>
      <c r="AI37" s="287"/>
      <c r="AJ37" s="287"/>
      <c r="AK37" s="287"/>
      <c r="AL37" s="287"/>
      <c r="AM37" s="287"/>
      <c r="AN37" s="287"/>
      <c r="AO37" s="287"/>
      <c r="AP37" s="287"/>
      <c r="AQ37" s="287"/>
      <c r="AR37" s="287"/>
      <c r="AS37" s="287"/>
      <c r="AT37" s="287"/>
      <c r="AU37" s="287"/>
      <c r="AV37" s="287"/>
      <c r="AW37" s="287"/>
      <c r="AX37" s="287"/>
      <c r="AY37" s="287"/>
      <c r="AZ37" s="287"/>
      <c r="BA37" s="287"/>
      <c r="BB37" s="287"/>
      <c r="BC37" s="287"/>
    </row>
    <row r="38" spans="1:56" ht="15" customHeight="1">
      <c r="A38" s="290"/>
      <c r="B38" s="290"/>
      <c r="C38" s="729" t="s">
        <v>49</v>
      </c>
      <c r="D38" s="730"/>
      <c r="E38" s="730"/>
      <c r="F38" s="730"/>
      <c r="G38" s="730"/>
      <c r="H38" s="730"/>
      <c r="I38" s="730"/>
      <c r="J38" s="730"/>
      <c r="K38" s="731"/>
      <c r="L38" s="290"/>
      <c r="M38" s="290"/>
      <c r="N38" s="729" t="s">
        <v>49</v>
      </c>
      <c r="O38" s="730"/>
      <c r="P38" s="730"/>
      <c r="Q38" s="730"/>
      <c r="R38" s="730"/>
      <c r="S38" s="730"/>
      <c r="T38" s="730"/>
      <c r="U38" s="730"/>
      <c r="V38" s="731"/>
      <c r="W38" s="736"/>
      <c r="X38" s="736"/>
      <c r="Y38" s="729" t="s">
        <v>49</v>
      </c>
      <c r="Z38" s="730"/>
      <c r="AA38" s="730"/>
      <c r="AB38" s="730"/>
      <c r="AC38" s="730"/>
      <c r="AD38" s="730"/>
      <c r="AE38" s="730"/>
      <c r="AF38" s="730"/>
      <c r="AG38" s="731"/>
      <c r="AH38" s="735"/>
      <c r="AI38" s="736"/>
      <c r="AJ38" s="729" t="s">
        <v>49</v>
      </c>
      <c r="AK38" s="730"/>
      <c r="AL38" s="730"/>
      <c r="AM38" s="730"/>
      <c r="AN38" s="730"/>
      <c r="AO38" s="730"/>
      <c r="AP38" s="730"/>
      <c r="AQ38" s="730"/>
      <c r="AR38" s="731"/>
      <c r="AS38" s="735"/>
      <c r="AT38" s="736"/>
      <c r="AU38" s="729" t="s">
        <v>49</v>
      </c>
      <c r="AV38" s="730"/>
      <c r="AW38" s="730"/>
      <c r="AX38" s="730"/>
      <c r="AY38" s="730"/>
      <c r="AZ38" s="730"/>
      <c r="BA38" s="730"/>
      <c r="BB38" s="730"/>
      <c r="BC38" s="731"/>
    </row>
    <row r="39" spans="1:56" ht="15" customHeight="1">
      <c r="A39" s="290"/>
      <c r="B39" s="290"/>
      <c r="C39" s="732" t="s">
        <v>73</v>
      </c>
      <c r="D39" s="733"/>
      <c r="E39" s="734"/>
      <c r="F39" s="732" t="s">
        <v>74</v>
      </c>
      <c r="G39" s="733"/>
      <c r="H39" s="734"/>
      <c r="I39" s="732" t="s">
        <v>75</v>
      </c>
      <c r="J39" s="733"/>
      <c r="K39" s="734"/>
      <c r="L39" s="290"/>
      <c r="M39" s="290"/>
      <c r="N39" s="732" t="s">
        <v>73</v>
      </c>
      <c r="O39" s="733"/>
      <c r="P39" s="734"/>
      <c r="Q39" s="732" t="s">
        <v>74</v>
      </c>
      <c r="R39" s="733"/>
      <c r="S39" s="734"/>
      <c r="T39" s="732" t="s">
        <v>75</v>
      </c>
      <c r="U39" s="733"/>
      <c r="V39" s="734"/>
      <c r="W39" s="736"/>
      <c r="X39" s="736"/>
      <c r="Y39" s="732" t="s">
        <v>73</v>
      </c>
      <c r="Z39" s="733"/>
      <c r="AA39" s="734"/>
      <c r="AB39" s="732" t="s">
        <v>74</v>
      </c>
      <c r="AC39" s="733"/>
      <c r="AD39" s="734"/>
      <c r="AE39" s="732" t="s">
        <v>75</v>
      </c>
      <c r="AF39" s="733"/>
      <c r="AG39" s="734"/>
      <c r="AH39" s="735"/>
      <c r="AI39" s="736"/>
      <c r="AJ39" s="732" t="s">
        <v>73</v>
      </c>
      <c r="AK39" s="733"/>
      <c r="AL39" s="734"/>
      <c r="AM39" s="732" t="s">
        <v>74</v>
      </c>
      <c r="AN39" s="733"/>
      <c r="AO39" s="734"/>
      <c r="AP39" s="732" t="s">
        <v>75</v>
      </c>
      <c r="AQ39" s="733"/>
      <c r="AR39" s="734"/>
      <c r="AS39" s="735"/>
      <c r="AT39" s="736"/>
      <c r="AU39" s="732" t="s">
        <v>73</v>
      </c>
      <c r="AV39" s="733"/>
      <c r="AW39" s="734"/>
      <c r="AX39" s="732" t="s">
        <v>74</v>
      </c>
      <c r="AY39" s="733"/>
      <c r="AZ39" s="734"/>
      <c r="BA39" s="732" t="s">
        <v>75</v>
      </c>
      <c r="BB39" s="733"/>
      <c r="BC39" s="734"/>
    </row>
    <row r="40" spans="1:56" ht="15" customHeight="1">
      <c r="A40" s="290"/>
      <c r="B40" s="291"/>
      <c r="C40" s="433" t="s">
        <v>4</v>
      </c>
      <c r="D40" s="434" t="s">
        <v>5</v>
      </c>
      <c r="E40" s="435">
        <v>18</v>
      </c>
      <c r="F40" s="433" t="s">
        <v>4</v>
      </c>
      <c r="G40" s="434" t="s">
        <v>5</v>
      </c>
      <c r="H40" s="435">
        <v>18</v>
      </c>
      <c r="I40" s="433" t="s">
        <v>4</v>
      </c>
      <c r="J40" s="434" t="s">
        <v>5</v>
      </c>
      <c r="K40" s="435">
        <v>18</v>
      </c>
      <c r="L40" s="290"/>
      <c r="M40" s="291"/>
      <c r="N40" s="433" t="s">
        <v>4</v>
      </c>
      <c r="O40" s="434" t="s">
        <v>5</v>
      </c>
      <c r="P40" s="435">
        <v>18</v>
      </c>
      <c r="Q40" s="433" t="s">
        <v>4</v>
      </c>
      <c r="R40" s="434" t="s">
        <v>5</v>
      </c>
      <c r="S40" s="435">
        <v>18</v>
      </c>
      <c r="T40" s="433" t="s">
        <v>4</v>
      </c>
      <c r="U40" s="434" t="s">
        <v>5</v>
      </c>
      <c r="V40" s="435">
        <v>18</v>
      </c>
      <c r="W40" s="427"/>
      <c r="X40" s="427"/>
      <c r="Y40" s="433" t="s">
        <v>4</v>
      </c>
      <c r="Z40" s="434" t="s">
        <v>5</v>
      </c>
      <c r="AA40" s="435">
        <v>18</v>
      </c>
      <c r="AB40" s="433" t="s">
        <v>4</v>
      </c>
      <c r="AC40" s="434" t="s">
        <v>5</v>
      </c>
      <c r="AD40" s="435">
        <v>18</v>
      </c>
      <c r="AE40" s="433" t="s">
        <v>4</v>
      </c>
      <c r="AF40" s="434" t="s">
        <v>5</v>
      </c>
      <c r="AG40" s="435">
        <v>18</v>
      </c>
      <c r="AH40" s="425"/>
      <c r="AI40" s="427"/>
      <c r="AJ40" s="433" t="s">
        <v>4</v>
      </c>
      <c r="AK40" s="434" t="s">
        <v>5</v>
      </c>
      <c r="AL40" s="435">
        <v>18</v>
      </c>
      <c r="AM40" s="433" t="s">
        <v>4</v>
      </c>
      <c r="AN40" s="434" t="s">
        <v>5</v>
      </c>
      <c r="AO40" s="435">
        <v>18</v>
      </c>
      <c r="AP40" s="433" t="s">
        <v>4</v>
      </c>
      <c r="AQ40" s="434" t="s">
        <v>5</v>
      </c>
      <c r="AR40" s="435">
        <v>18</v>
      </c>
      <c r="AS40" s="425"/>
      <c r="AT40" s="427"/>
      <c r="AU40" s="433" t="s">
        <v>4</v>
      </c>
      <c r="AV40" s="434" t="s">
        <v>5</v>
      </c>
      <c r="AW40" s="435">
        <v>18</v>
      </c>
      <c r="AX40" s="433" t="s">
        <v>4</v>
      </c>
      <c r="AY40" s="434" t="s">
        <v>5</v>
      </c>
      <c r="AZ40" s="435">
        <v>18</v>
      </c>
      <c r="BA40" s="433" t="s">
        <v>4</v>
      </c>
      <c r="BB40" s="434" t="s">
        <v>5</v>
      </c>
      <c r="BC40" s="435">
        <v>18</v>
      </c>
    </row>
    <row r="41" spans="1:56" ht="15" customHeight="1">
      <c r="A41" s="735" t="s">
        <v>161</v>
      </c>
      <c r="B41" s="736"/>
      <c r="C41" s="670">
        <f>Results!G8</f>
        <v>0</v>
      </c>
      <c r="D41" s="671">
        <f>Results!H8</f>
        <v>0</v>
      </c>
      <c r="E41" s="672">
        <f>Results!I8</f>
        <v>0</v>
      </c>
      <c r="F41" s="670">
        <f>Results!J8</f>
        <v>0</v>
      </c>
      <c r="G41" s="671">
        <f>Results!K8</f>
        <v>0</v>
      </c>
      <c r="H41" s="672">
        <f>Results!L8</f>
        <v>0</v>
      </c>
      <c r="I41" s="670">
        <f>Results!M8</f>
        <v>0</v>
      </c>
      <c r="J41" s="671">
        <f>Results!N8</f>
        <v>0</v>
      </c>
      <c r="K41" s="672">
        <f>Results!O8</f>
        <v>0</v>
      </c>
      <c r="L41" s="735" t="s">
        <v>161</v>
      </c>
      <c r="M41" s="736"/>
      <c r="N41" s="670">
        <f>Results!G15</f>
        <v>0</v>
      </c>
      <c r="O41" s="671">
        <f>Results!H15</f>
        <v>0</v>
      </c>
      <c r="P41" s="672">
        <f>Results!I15</f>
        <v>0</v>
      </c>
      <c r="Q41" s="670">
        <f>Results!J15</f>
        <v>0</v>
      </c>
      <c r="R41" s="671">
        <f>Results!K15</f>
        <v>0</v>
      </c>
      <c r="S41" s="672">
        <f>Results!L15</f>
        <v>0</v>
      </c>
      <c r="T41" s="670">
        <f>Results!M15</f>
        <v>0</v>
      </c>
      <c r="U41" s="671">
        <f>Results!N15</f>
        <v>0</v>
      </c>
      <c r="V41" s="672">
        <f>Results!O15</f>
        <v>0</v>
      </c>
      <c r="W41" s="735" t="s">
        <v>161</v>
      </c>
      <c r="X41" s="736"/>
      <c r="Y41" s="696">
        <f>Results!G23</f>
        <v>0</v>
      </c>
      <c r="Z41" s="666">
        <f>Results!H23</f>
        <v>0</v>
      </c>
      <c r="AA41" s="697">
        <f>Results!I23</f>
        <v>0</v>
      </c>
      <c r="AB41" s="696">
        <f>Results!J23</f>
        <v>0</v>
      </c>
      <c r="AC41" s="666">
        <f>Results!K23</f>
        <v>0</v>
      </c>
      <c r="AD41" s="697">
        <f>Results!L23</f>
        <v>0</v>
      </c>
      <c r="AE41" s="696">
        <f>Results!M23</f>
        <v>0</v>
      </c>
      <c r="AF41" s="666">
        <f>Results!N23</f>
        <v>0</v>
      </c>
      <c r="AG41" s="697">
        <f>Results!O23</f>
        <v>0</v>
      </c>
      <c r="AH41" s="735" t="s">
        <v>161</v>
      </c>
      <c r="AI41" s="736"/>
      <c r="AJ41" s="670">
        <f>Results!G31</f>
        <v>0</v>
      </c>
      <c r="AK41" s="671">
        <f>Results!H31</f>
        <v>0</v>
      </c>
      <c r="AL41" s="672">
        <f>Results!I31</f>
        <v>0</v>
      </c>
      <c r="AM41" s="671">
        <f>Results!J31</f>
        <v>0</v>
      </c>
      <c r="AN41" s="671">
        <f>Results!K31</f>
        <v>0</v>
      </c>
      <c r="AO41" s="672">
        <f>Results!L31</f>
        <v>0</v>
      </c>
      <c r="AP41" s="671">
        <f>Results!M31</f>
        <v>0</v>
      </c>
      <c r="AQ41" s="671">
        <f>Results!N31</f>
        <v>0</v>
      </c>
      <c r="AR41" s="672">
        <f>Results!O31</f>
        <v>0</v>
      </c>
      <c r="AS41" s="735" t="s">
        <v>161</v>
      </c>
      <c r="AT41" s="736"/>
      <c r="AU41" s="670">
        <f>Results!G39</f>
        <v>0</v>
      </c>
      <c r="AV41" s="671">
        <f>Results!H39</f>
        <v>0</v>
      </c>
      <c r="AW41" s="672">
        <f>Results!I39</f>
        <v>0</v>
      </c>
      <c r="AX41" s="671">
        <f>Results!J39</f>
        <v>0</v>
      </c>
      <c r="AY41" s="671">
        <f>Results!K39</f>
        <v>0</v>
      </c>
      <c r="AZ41" s="672">
        <f>Results!L39</f>
        <v>0</v>
      </c>
      <c r="BA41" s="671">
        <f>Results!M39</f>
        <v>0</v>
      </c>
      <c r="BB41" s="671">
        <f>Results!N39</f>
        <v>0</v>
      </c>
      <c r="BC41" s="672">
        <f>Results!O39</f>
        <v>0</v>
      </c>
    </row>
    <row r="42" spans="1:56" ht="15" customHeight="1">
      <c r="A42" s="735" t="s">
        <v>162</v>
      </c>
      <c r="B42" s="736"/>
      <c r="C42" s="673">
        <f>Results!G9</f>
        <v>0</v>
      </c>
      <c r="D42" s="674">
        <f>Results!H9</f>
        <v>0</v>
      </c>
      <c r="E42" s="675">
        <f>Results!I9</f>
        <v>0</v>
      </c>
      <c r="F42" s="673">
        <f>Results!J9</f>
        <v>0</v>
      </c>
      <c r="G42" s="674">
        <f>Results!K9</f>
        <v>0</v>
      </c>
      <c r="H42" s="675">
        <f>Results!L9</f>
        <v>0</v>
      </c>
      <c r="I42" s="673">
        <f>Results!M9</f>
        <v>0</v>
      </c>
      <c r="J42" s="674">
        <f>Results!N9</f>
        <v>0</v>
      </c>
      <c r="K42" s="675">
        <f>Results!O9</f>
        <v>0</v>
      </c>
      <c r="L42" s="735" t="s">
        <v>162</v>
      </c>
      <c r="M42" s="736"/>
      <c r="N42" s="682">
        <f>Results!G16</f>
        <v>0</v>
      </c>
      <c r="O42" s="683">
        <f>Results!H16</f>
        <v>0</v>
      </c>
      <c r="P42" s="684">
        <f>Results!I16</f>
        <v>0</v>
      </c>
      <c r="Q42" s="682">
        <f>Results!J16</f>
        <v>0</v>
      </c>
      <c r="R42" s="683">
        <f>Results!K16</f>
        <v>0</v>
      </c>
      <c r="S42" s="684">
        <f>Results!L16</f>
        <v>0</v>
      </c>
      <c r="T42" s="682">
        <f>Results!M16</f>
        <v>0</v>
      </c>
      <c r="U42" s="683">
        <f>Results!N16</f>
        <v>0</v>
      </c>
      <c r="V42" s="684">
        <f>Results!O16</f>
        <v>0</v>
      </c>
      <c r="W42" s="735" t="s">
        <v>162</v>
      </c>
      <c r="X42" s="736"/>
      <c r="Y42" s="698">
        <f>Results!G24</f>
        <v>0</v>
      </c>
      <c r="Z42" s="699">
        <f>Results!H24</f>
        <v>0</v>
      </c>
      <c r="AA42" s="700">
        <f>Results!I24</f>
        <v>0</v>
      </c>
      <c r="AB42" s="698">
        <f>Results!J24</f>
        <v>0</v>
      </c>
      <c r="AC42" s="699">
        <f>Results!K24</f>
        <v>0</v>
      </c>
      <c r="AD42" s="700">
        <f>Results!L24</f>
        <v>0</v>
      </c>
      <c r="AE42" s="698">
        <f>Results!M24</f>
        <v>0</v>
      </c>
      <c r="AF42" s="699">
        <f>Results!N24</f>
        <v>0</v>
      </c>
      <c r="AG42" s="700">
        <f>Results!O24</f>
        <v>0</v>
      </c>
      <c r="AH42" s="735" t="s">
        <v>162</v>
      </c>
      <c r="AI42" s="736"/>
      <c r="AJ42" s="682">
        <f>Results!G32</f>
        <v>0</v>
      </c>
      <c r="AK42" s="683">
        <f>Results!H32</f>
        <v>0</v>
      </c>
      <c r="AL42" s="684">
        <f>Results!I32</f>
        <v>0</v>
      </c>
      <c r="AM42" s="683">
        <f>Results!J32</f>
        <v>0</v>
      </c>
      <c r="AN42" s="683">
        <f>Results!K32</f>
        <v>0</v>
      </c>
      <c r="AO42" s="684">
        <f>Results!L32</f>
        <v>0</v>
      </c>
      <c r="AP42" s="683">
        <f>Results!M32</f>
        <v>0</v>
      </c>
      <c r="AQ42" s="683">
        <f>Results!N32</f>
        <v>0</v>
      </c>
      <c r="AR42" s="684">
        <f>Results!O32</f>
        <v>0</v>
      </c>
      <c r="AS42" s="735" t="s">
        <v>162</v>
      </c>
      <c r="AT42" s="736"/>
      <c r="AU42" s="670">
        <f>Results!G40</f>
        <v>0</v>
      </c>
      <c r="AV42" s="671">
        <f>Results!H40</f>
        <v>0</v>
      </c>
      <c r="AW42" s="672">
        <f>Results!I40</f>
        <v>0</v>
      </c>
      <c r="AX42" s="671">
        <f>Results!J40</f>
        <v>0</v>
      </c>
      <c r="AY42" s="671">
        <f>Results!K40</f>
        <v>0</v>
      </c>
      <c r="AZ42" s="672">
        <f>Results!L40</f>
        <v>0</v>
      </c>
      <c r="BA42" s="671">
        <f>Results!M40</f>
        <v>0</v>
      </c>
      <c r="BB42" s="671">
        <f>Results!N40</f>
        <v>0</v>
      </c>
      <c r="BC42" s="672">
        <f>Results!O40</f>
        <v>0</v>
      </c>
    </row>
    <row r="43" spans="1:56" ht="15" customHeight="1">
      <c r="A43" s="413"/>
      <c r="B43" s="413"/>
      <c r="C43" s="290"/>
      <c r="D43" s="290"/>
      <c r="E43" s="290"/>
      <c r="F43" s="290"/>
      <c r="G43" s="290"/>
      <c r="H43" s="290"/>
      <c r="I43" s="290"/>
      <c r="J43" s="290"/>
      <c r="K43" s="290"/>
      <c r="L43" s="287"/>
      <c r="M43" s="724" t="s">
        <v>159</v>
      </c>
      <c r="N43" s="685">
        <f>Results!G17</f>
        <v>0</v>
      </c>
      <c r="O43" s="686">
        <f>Results!H17</f>
        <v>0</v>
      </c>
      <c r="P43" s="687">
        <f>Results!I17</f>
        <v>0</v>
      </c>
      <c r="Q43" s="685">
        <f>Results!J17</f>
        <v>0</v>
      </c>
      <c r="R43" s="686">
        <f>Results!K17</f>
        <v>0</v>
      </c>
      <c r="S43" s="687">
        <f>Results!L17</f>
        <v>0</v>
      </c>
      <c r="T43" s="685">
        <f>Results!M17</f>
        <v>0</v>
      </c>
      <c r="U43" s="686">
        <f>Results!N17</f>
        <v>0</v>
      </c>
      <c r="V43" s="687">
        <f>Results!O17</f>
        <v>0</v>
      </c>
      <c r="W43" s="287"/>
      <c r="X43" s="724" t="s">
        <v>159</v>
      </c>
      <c r="Y43" s="696">
        <f>Results!G25</f>
        <v>0</v>
      </c>
      <c r="Z43" s="666">
        <f>Results!H25</f>
        <v>0</v>
      </c>
      <c r="AA43" s="697">
        <f>Results!I25</f>
        <v>0</v>
      </c>
      <c r="AB43" s="696">
        <f>Results!J25</f>
        <v>0</v>
      </c>
      <c r="AC43" s="666">
        <f>Results!K25</f>
        <v>0</v>
      </c>
      <c r="AD43" s="697">
        <f>Results!L25</f>
        <v>0</v>
      </c>
      <c r="AE43" s="696">
        <f>Results!M25</f>
        <v>0</v>
      </c>
      <c r="AF43" s="666">
        <f>Results!N25</f>
        <v>0</v>
      </c>
      <c r="AG43" s="697">
        <f>Results!O25</f>
        <v>0</v>
      </c>
      <c r="AH43" s="287"/>
      <c r="AI43" s="724" t="s">
        <v>159</v>
      </c>
      <c r="AJ43" s="670">
        <f>Results!G33</f>
        <v>0</v>
      </c>
      <c r="AK43" s="671">
        <f>Results!H33</f>
        <v>0</v>
      </c>
      <c r="AL43" s="672">
        <f>Results!I33</f>
        <v>0</v>
      </c>
      <c r="AM43" s="671">
        <f>Results!J33</f>
        <v>0</v>
      </c>
      <c r="AN43" s="671">
        <f>Results!K33</f>
        <v>0</v>
      </c>
      <c r="AO43" s="672">
        <f>Results!L33</f>
        <v>0</v>
      </c>
      <c r="AP43" s="671">
        <f>Results!M33</f>
        <v>0</v>
      </c>
      <c r="AQ43" s="671">
        <f>Results!N33</f>
        <v>0</v>
      </c>
      <c r="AR43" s="672">
        <f>Results!O33</f>
        <v>0</v>
      </c>
      <c r="AS43" s="287"/>
      <c r="AT43" s="724" t="s">
        <v>159</v>
      </c>
      <c r="AU43" s="685">
        <f>Results!G41</f>
        <v>0</v>
      </c>
      <c r="AV43" s="686">
        <f>Results!H41</f>
        <v>0</v>
      </c>
      <c r="AW43" s="687">
        <f>Results!I41</f>
        <v>0</v>
      </c>
      <c r="AX43" s="686">
        <f>Results!J41</f>
        <v>0</v>
      </c>
      <c r="AY43" s="686">
        <f>Results!K41</f>
        <v>0</v>
      </c>
      <c r="AZ43" s="687">
        <f>Results!L41</f>
        <v>0</v>
      </c>
      <c r="BA43" s="686">
        <f>Results!M41</f>
        <v>0</v>
      </c>
      <c r="BB43" s="686">
        <f>Results!N41</f>
        <v>0</v>
      </c>
      <c r="BC43" s="687">
        <f>Results!O41</f>
        <v>0</v>
      </c>
    </row>
    <row r="44" spans="1:56" ht="15" customHeight="1">
      <c r="A44" s="413"/>
      <c r="B44" s="413"/>
      <c r="C44" s="729" t="s">
        <v>50</v>
      </c>
      <c r="D44" s="730"/>
      <c r="E44" s="730"/>
      <c r="F44" s="730"/>
      <c r="G44" s="730"/>
      <c r="H44" s="730"/>
      <c r="I44" s="730"/>
      <c r="J44" s="730"/>
      <c r="K44" s="731"/>
      <c r="L44" s="723"/>
      <c r="M44" s="656" t="s">
        <v>288</v>
      </c>
      <c r="N44" s="688">
        <f>Results!G18</f>
        <v>0</v>
      </c>
      <c r="O44" s="689">
        <f>Results!H18</f>
        <v>0</v>
      </c>
      <c r="P44" s="690">
        <f>Results!I18</f>
        <v>0</v>
      </c>
      <c r="Q44" s="688">
        <f>Results!J18</f>
        <v>0</v>
      </c>
      <c r="R44" s="689">
        <f>Results!K18</f>
        <v>0</v>
      </c>
      <c r="S44" s="690">
        <f>Results!L18</f>
        <v>0</v>
      </c>
      <c r="T44" s="688">
        <f>Results!M18</f>
        <v>0</v>
      </c>
      <c r="U44" s="689">
        <f>Results!N18</f>
        <v>0</v>
      </c>
      <c r="V44" s="690">
        <f>Results!O18</f>
        <v>0</v>
      </c>
      <c r="W44" s="723"/>
      <c r="X44" s="656" t="s">
        <v>288</v>
      </c>
      <c r="Y44" s="701">
        <f>Results!G26</f>
        <v>0</v>
      </c>
      <c r="Z44" s="702">
        <f>Results!H26</f>
        <v>0</v>
      </c>
      <c r="AA44" s="703">
        <f>Results!I26</f>
        <v>0</v>
      </c>
      <c r="AB44" s="701">
        <f>Results!J26</f>
        <v>0</v>
      </c>
      <c r="AC44" s="702">
        <f>Results!K26</f>
        <v>0</v>
      </c>
      <c r="AD44" s="703">
        <f>Results!L26</f>
        <v>0</v>
      </c>
      <c r="AE44" s="701">
        <f>Results!M26</f>
        <v>0</v>
      </c>
      <c r="AF44" s="702">
        <f>Results!N26</f>
        <v>0</v>
      </c>
      <c r="AG44" s="703">
        <f>Results!O26</f>
        <v>0</v>
      </c>
      <c r="AH44" s="723"/>
      <c r="AI44" s="656" t="s">
        <v>288</v>
      </c>
      <c r="AJ44" s="688">
        <f>Results!G34</f>
        <v>0</v>
      </c>
      <c r="AK44" s="689">
        <f>Results!H34</f>
        <v>0</v>
      </c>
      <c r="AL44" s="690">
        <f>Results!I34</f>
        <v>0</v>
      </c>
      <c r="AM44" s="689">
        <f>Results!J34</f>
        <v>0</v>
      </c>
      <c r="AN44" s="689">
        <f>Results!K34</f>
        <v>0</v>
      </c>
      <c r="AO44" s="690">
        <f>Results!L34</f>
        <v>0</v>
      </c>
      <c r="AP44" s="689">
        <f>Results!M34</f>
        <v>0</v>
      </c>
      <c r="AQ44" s="689">
        <f>Results!N34</f>
        <v>0</v>
      </c>
      <c r="AR44" s="690">
        <f>Results!O34</f>
        <v>0</v>
      </c>
      <c r="AS44" s="723"/>
      <c r="AT44" s="656" t="s">
        <v>288</v>
      </c>
      <c r="AU44" s="688">
        <f>Results!G42</f>
        <v>0</v>
      </c>
      <c r="AV44" s="689">
        <f>Results!H42</f>
        <v>0</v>
      </c>
      <c r="AW44" s="690">
        <f>Results!I42</f>
        <v>0</v>
      </c>
      <c r="AX44" s="689">
        <f>Results!J42</f>
        <v>0</v>
      </c>
      <c r="AY44" s="689">
        <f>Results!K42</f>
        <v>0</v>
      </c>
      <c r="AZ44" s="690">
        <f>Results!L42</f>
        <v>0</v>
      </c>
      <c r="BA44" s="689">
        <f>Results!M42</f>
        <v>0</v>
      </c>
      <c r="BB44" s="689">
        <f>Results!N42</f>
        <v>0</v>
      </c>
      <c r="BC44" s="690">
        <f>Results!O42</f>
        <v>0</v>
      </c>
    </row>
    <row r="45" spans="1:56" ht="15" customHeight="1">
      <c r="A45" s="413"/>
      <c r="B45" s="413"/>
      <c r="C45" s="732" t="s">
        <v>73</v>
      </c>
      <c r="D45" s="733"/>
      <c r="E45" s="734"/>
      <c r="F45" s="732" t="s">
        <v>74</v>
      </c>
      <c r="G45" s="733"/>
      <c r="H45" s="734"/>
      <c r="I45" s="732" t="s">
        <v>75</v>
      </c>
      <c r="J45" s="733"/>
      <c r="K45" s="734"/>
      <c r="L45" s="288"/>
      <c r="M45" s="288"/>
      <c r="N45" s="416"/>
      <c r="O45" s="288"/>
      <c r="P45" s="288"/>
      <c r="Q45" s="288"/>
      <c r="R45" s="288"/>
      <c r="S45" s="288"/>
      <c r="T45" s="288"/>
      <c r="U45" s="288"/>
      <c r="V45" s="288"/>
      <c r="W45" s="425"/>
      <c r="X45" s="427"/>
      <c r="Y45" s="416"/>
      <c r="Z45" s="288"/>
      <c r="AA45" s="288"/>
      <c r="AB45" s="288"/>
      <c r="AC45" s="288"/>
      <c r="AD45" s="288"/>
      <c r="AE45" s="288"/>
      <c r="AF45" s="288"/>
      <c r="AG45" s="288"/>
      <c r="AH45" s="425"/>
      <c r="AI45" s="427"/>
      <c r="AJ45" s="288"/>
      <c r="AK45" s="288"/>
      <c r="AL45" s="288"/>
      <c r="AM45" s="288"/>
      <c r="AN45" s="288"/>
      <c r="AO45" s="288"/>
      <c r="AP45" s="288"/>
      <c r="AQ45" s="288"/>
      <c r="AR45" s="288"/>
      <c r="AS45" s="425"/>
      <c r="AT45" s="427"/>
      <c r="AU45" s="288"/>
      <c r="AV45" s="288"/>
      <c r="AW45" s="288"/>
      <c r="AX45" s="288"/>
      <c r="AY45" s="288"/>
      <c r="AZ45" s="288"/>
      <c r="BA45" s="288"/>
      <c r="BB45" s="288"/>
      <c r="BC45" s="288"/>
    </row>
    <row r="46" spans="1:56" ht="15" customHeight="1">
      <c r="A46" s="413"/>
      <c r="B46" s="417"/>
      <c r="C46" s="433" t="s">
        <v>4</v>
      </c>
      <c r="D46" s="434" t="s">
        <v>5</v>
      </c>
      <c r="E46" s="435">
        <v>18</v>
      </c>
      <c r="F46" s="433" t="s">
        <v>4</v>
      </c>
      <c r="G46" s="434" t="s">
        <v>5</v>
      </c>
      <c r="H46" s="435">
        <v>18</v>
      </c>
      <c r="I46" s="434" t="s">
        <v>4</v>
      </c>
      <c r="J46" s="434" t="s">
        <v>5</v>
      </c>
      <c r="K46" s="435">
        <v>18</v>
      </c>
      <c r="L46" s="288"/>
      <c r="M46" s="288"/>
      <c r="N46" s="729" t="s">
        <v>50</v>
      </c>
      <c r="O46" s="730"/>
      <c r="P46" s="730"/>
      <c r="Q46" s="730"/>
      <c r="R46" s="730"/>
      <c r="S46" s="730"/>
      <c r="T46" s="730"/>
      <c r="U46" s="730"/>
      <c r="V46" s="731"/>
      <c r="W46" s="288"/>
      <c r="X46" s="288"/>
      <c r="Y46" s="729" t="s">
        <v>50</v>
      </c>
      <c r="Z46" s="730"/>
      <c r="AA46" s="730"/>
      <c r="AB46" s="730"/>
      <c r="AC46" s="730"/>
      <c r="AD46" s="730"/>
      <c r="AE46" s="730"/>
      <c r="AF46" s="730"/>
      <c r="AG46" s="731"/>
      <c r="AH46" s="288"/>
      <c r="AI46" s="288"/>
      <c r="AJ46" s="729" t="s">
        <v>50</v>
      </c>
      <c r="AK46" s="730"/>
      <c r="AL46" s="730"/>
      <c r="AM46" s="730"/>
      <c r="AN46" s="730"/>
      <c r="AO46" s="730"/>
      <c r="AP46" s="730"/>
      <c r="AQ46" s="730"/>
      <c r="AR46" s="731"/>
      <c r="AS46" s="288"/>
      <c r="AT46" s="288"/>
      <c r="AU46" s="729" t="s">
        <v>50</v>
      </c>
      <c r="AV46" s="730"/>
      <c r="AW46" s="730"/>
      <c r="AX46" s="730"/>
      <c r="AY46" s="730"/>
      <c r="AZ46" s="730"/>
      <c r="BA46" s="730"/>
      <c r="BB46" s="730"/>
      <c r="BC46" s="731"/>
    </row>
    <row r="47" spans="1:56" ht="15" customHeight="1">
      <c r="A47" s="735" t="s">
        <v>161</v>
      </c>
      <c r="B47" s="736"/>
      <c r="C47" s="670">
        <f>Results!P8</f>
        <v>0</v>
      </c>
      <c r="D47" s="671">
        <f>Results!Q8</f>
        <v>0</v>
      </c>
      <c r="E47" s="672">
        <f>Results!R8</f>
        <v>0</v>
      </c>
      <c r="F47" s="670">
        <f>Results!S8</f>
        <v>0</v>
      </c>
      <c r="G47" s="671">
        <f>Results!T8</f>
        <v>0</v>
      </c>
      <c r="H47" s="672">
        <f>Results!U8</f>
        <v>0</v>
      </c>
      <c r="I47" s="670">
        <f>Results!V8</f>
        <v>0</v>
      </c>
      <c r="J47" s="671">
        <f>Results!W8</f>
        <v>0</v>
      </c>
      <c r="K47" s="672">
        <f>Results!X8</f>
        <v>0</v>
      </c>
      <c r="L47" s="288"/>
      <c r="M47" s="288"/>
      <c r="N47" s="732" t="s">
        <v>73</v>
      </c>
      <c r="O47" s="733"/>
      <c r="P47" s="734"/>
      <c r="Q47" s="732" t="s">
        <v>74</v>
      </c>
      <c r="R47" s="733"/>
      <c r="S47" s="734"/>
      <c r="T47" s="732" t="s">
        <v>75</v>
      </c>
      <c r="U47" s="733"/>
      <c r="V47" s="734"/>
      <c r="W47" s="288"/>
      <c r="X47" s="288"/>
      <c r="Y47" s="732" t="s">
        <v>73</v>
      </c>
      <c r="Z47" s="733"/>
      <c r="AA47" s="734"/>
      <c r="AB47" s="732" t="s">
        <v>74</v>
      </c>
      <c r="AC47" s="733"/>
      <c r="AD47" s="734"/>
      <c r="AE47" s="732" t="s">
        <v>75</v>
      </c>
      <c r="AF47" s="733"/>
      <c r="AG47" s="734"/>
      <c r="AH47" s="288"/>
      <c r="AI47" s="288"/>
      <c r="AJ47" s="732" t="s">
        <v>73</v>
      </c>
      <c r="AK47" s="733"/>
      <c r="AL47" s="734"/>
      <c r="AM47" s="732" t="s">
        <v>74</v>
      </c>
      <c r="AN47" s="733"/>
      <c r="AO47" s="734"/>
      <c r="AP47" s="732" t="s">
        <v>75</v>
      </c>
      <c r="AQ47" s="733"/>
      <c r="AR47" s="734"/>
      <c r="AS47" s="288"/>
      <c r="AT47" s="288"/>
      <c r="AU47" s="732" t="s">
        <v>73</v>
      </c>
      <c r="AV47" s="733"/>
      <c r="AW47" s="734"/>
      <c r="AX47" s="732" t="s">
        <v>74</v>
      </c>
      <c r="AY47" s="733"/>
      <c r="AZ47" s="734"/>
      <c r="BA47" s="732" t="s">
        <v>75</v>
      </c>
      <c r="BB47" s="733"/>
      <c r="BC47" s="734"/>
    </row>
    <row r="48" spans="1:56" ht="15" customHeight="1">
      <c r="A48" s="735" t="s">
        <v>162</v>
      </c>
      <c r="B48" s="736"/>
      <c r="C48" s="673">
        <f>Results!P9</f>
        <v>0</v>
      </c>
      <c r="D48" s="674">
        <f>Results!Q9</f>
        <v>0</v>
      </c>
      <c r="E48" s="675">
        <f>Results!R9</f>
        <v>0</v>
      </c>
      <c r="F48" s="673">
        <f>Results!S9</f>
        <v>0</v>
      </c>
      <c r="G48" s="674">
        <f>Results!T9</f>
        <v>0</v>
      </c>
      <c r="H48" s="675">
        <f>Results!U9</f>
        <v>0</v>
      </c>
      <c r="I48" s="673">
        <f>Results!V9</f>
        <v>0</v>
      </c>
      <c r="J48" s="674">
        <f>Results!W9</f>
        <v>0</v>
      </c>
      <c r="K48" s="675">
        <f>Results!X9</f>
        <v>0</v>
      </c>
      <c r="L48" s="288"/>
      <c r="M48" s="288"/>
      <c r="N48" s="433" t="s">
        <v>4</v>
      </c>
      <c r="O48" s="434" t="s">
        <v>5</v>
      </c>
      <c r="P48" s="435">
        <v>18</v>
      </c>
      <c r="Q48" s="433" t="s">
        <v>4</v>
      </c>
      <c r="R48" s="434" t="s">
        <v>5</v>
      </c>
      <c r="S48" s="435">
        <v>18</v>
      </c>
      <c r="T48" s="434" t="s">
        <v>4</v>
      </c>
      <c r="U48" s="434" t="s">
        <v>5</v>
      </c>
      <c r="V48" s="435">
        <v>18</v>
      </c>
      <c r="W48" s="288"/>
      <c r="X48" s="288"/>
      <c r="Y48" s="433" t="s">
        <v>4</v>
      </c>
      <c r="Z48" s="434" t="s">
        <v>5</v>
      </c>
      <c r="AA48" s="435">
        <v>18</v>
      </c>
      <c r="AB48" s="433" t="s">
        <v>4</v>
      </c>
      <c r="AC48" s="434" t="s">
        <v>5</v>
      </c>
      <c r="AD48" s="435">
        <v>18</v>
      </c>
      <c r="AE48" s="434" t="s">
        <v>4</v>
      </c>
      <c r="AF48" s="434" t="s">
        <v>5</v>
      </c>
      <c r="AG48" s="435">
        <v>18</v>
      </c>
      <c r="AH48" s="288"/>
      <c r="AI48" s="288"/>
      <c r="AJ48" s="433" t="s">
        <v>4</v>
      </c>
      <c r="AK48" s="434" t="s">
        <v>5</v>
      </c>
      <c r="AL48" s="435">
        <v>18</v>
      </c>
      <c r="AM48" s="433" t="s">
        <v>4</v>
      </c>
      <c r="AN48" s="434" t="s">
        <v>5</v>
      </c>
      <c r="AO48" s="435">
        <v>18</v>
      </c>
      <c r="AP48" s="434" t="s">
        <v>4</v>
      </c>
      <c r="AQ48" s="434" t="s">
        <v>5</v>
      </c>
      <c r="AR48" s="435">
        <v>18</v>
      </c>
      <c r="AS48" s="288"/>
      <c r="AT48" s="288"/>
      <c r="AU48" s="433" t="s">
        <v>4</v>
      </c>
      <c r="AV48" s="434" t="s">
        <v>5</v>
      </c>
      <c r="AW48" s="435">
        <v>18</v>
      </c>
      <c r="AX48" s="433" t="s">
        <v>4</v>
      </c>
      <c r="AY48" s="434" t="s">
        <v>5</v>
      </c>
      <c r="AZ48" s="435">
        <v>18</v>
      </c>
      <c r="BA48" s="434" t="s">
        <v>4</v>
      </c>
      <c r="BB48" s="434" t="s">
        <v>5</v>
      </c>
      <c r="BC48" s="435">
        <v>18</v>
      </c>
    </row>
    <row r="49" spans="1:55" ht="15" customHeight="1">
      <c r="A49" s="413"/>
      <c r="B49" s="413"/>
      <c r="C49" s="290"/>
      <c r="D49" s="290"/>
      <c r="E49" s="290"/>
      <c r="F49" s="290"/>
      <c r="G49" s="290"/>
      <c r="H49" s="290"/>
      <c r="I49" s="290"/>
      <c r="J49" s="290"/>
      <c r="K49" s="290"/>
      <c r="L49" s="735" t="s">
        <v>161</v>
      </c>
      <c r="M49" s="736"/>
      <c r="N49" s="670">
        <f>Results!P15</f>
        <v>0</v>
      </c>
      <c r="O49" s="671">
        <f>Results!Q15</f>
        <v>0</v>
      </c>
      <c r="P49" s="672">
        <f>Results!R15</f>
        <v>0</v>
      </c>
      <c r="Q49" s="670">
        <f>Results!S15</f>
        <v>0</v>
      </c>
      <c r="R49" s="671">
        <f>Results!T15</f>
        <v>0</v>
      </c>
      <c r="S49" s="672">
        <f>Results!U15</f>
        <v>0</v>
      </c>
      <c r="T49" s="670">
        <f>Results!V15</f>
        <v>0</v>
      </c>
      <c r="U49" s="671">
        <f>Results!W15</f>
        <v>0</v>
      </c>
      <c r="V49" s="672">
        <f>Results!X15</f>
        <v>0</v>
      </c>
      <c r="W49" s="735" t="s">
        <v>161</v>
      </c>
      <c r="X49" s="736"/>
      <c r="Y49" s="670">
        <f>Results!P23</f>
        <v>0</v>
      </c>
      <c r="Z49" s="671">
        <f>Results!Q23</f>
        <v>0</v>
      </c>
      <c r="AA49" s="672">
        <f>Results!R23</f>
        <v>0</v>
      </c>
      <c r="AB49" s="670">
        <f>Results!S23</f>
        <v>0</v>
      </c>
      <c r="AC49" s="671">
        <f>Results!T23</f>
        <v>0</v>
      </c>
      <c r="AD49" s="672">
        <f>Results!U23</f>
        <v>0</v>
      </c>
      <c r="AE49" s="670">
        <f>Results!V23</f>
        <v>0</v>
      </c>
      <c r="AF49" s="671">
        <f>Results!W23</f>
        <v>0</v>
      </c>
      <c r="AG49" s="672">
        <f>Results!X23</f>
        <v>0</v>
      </c>
      <c r="AH49" s="735" t="s">
        <v>161</v>
      </c>
      <c r="AI49" s="736"/>
      <c r="AJ49" s="670">
        <f>Results!P31</f>
        <v>0</v>
      </c>
      <c r="AK49" s="671">
        <f>Results!Q31</f>
        <v>0</v>
      </c>
      <c r="AL49" s="672">
        <f>Results!R31</f>
        <v>0</v>
      </c>
      <c r="AM49" s="671">
        <f>Results!S31</f>
        <v>0</v>
      </c>
      <c r="AN49" s="671">
        <f>Results!T31</f>
        <v>0</v>
      </c>
      <c r="AO49" s="672">
        <f>Results!U31</f>
        <v>0</v>
      </c>
      <c r="AP49" s="671">
        <f>Results!V31</f>
        <v>0</v>
      </c>
      <c r="AQ49" s="671">
        <f>Results!W31</f>
        <v>0</v>
      </c>
      <c r="AR49" s="672">
        <f>Results!X31</f>
        <v>0</v>
      </c>
      <c r="AS49" s="735" t="s">
        <v>161</v>
      </c>
      <c r="AT49" s="736"/>
      <c r="AU49" s="670">
        <f>Results!P39</f>
        <v>0</v>
      </c>
      <c r="AV49" s="671">
        <f>Results!Q39</f>
        <v>0</v>
      </c>
      <c r="AW49" s="672">
        <f>Results!R39</f>
        <v>0</v>
      </c>
      <c r="AX49" s="671">
        <f>Results!S39</f>
        <v>0</v>
      </c>
      <c r="AY49" s="671">
        <f>Results!T39</f>
        <v>0</v>
      </c>
      <c r="AZ49" s="672">
        <f>Results!U39</f>
        <v>0</v>
      </c>
      <c r="BA49" s="671">
        <f>Results!V39</f>
        <v>0</v>
      </c>
      <c r="BB49" s="671">
        <f>Results!W39</f>
        <v>0</v>
      </c>
      <c r="BC49" s="672">
        <f>Results!X39</f>
        <v>0</v>
      </c>
    </row>
    <row r="50" spans="1:55" ht="15" customHeight="1">
      <c r="A50" s="413"/>
      <c r="B50" s="417"/>
      <c r="C50" s="729" t="s">
        <v>39</v>
      </c>
      <c r="D50" s="730"/>
      <c r="E50" s="731"/>
      <c r="F50" s="341"/>
      <c r="G50" s="341"/>
      <c r="H50" s="341"/>
      <c r="I50" s="341"/>
      <c r="J50" s="341"/>
      <c r="K50" s="341"/>
      <c r="L50" s="735" t="s">
        <v>162</v>
      </c>
      <c r="M50" s="741"/>
      <c r="N50" s="682">
        <f>Results!P16</f>
        <v>0</v>
      </c>
      <c r="O50" s="683">
        <f>Results!Q16</f>
        <v>0</v>
      </c>
      <c r="P50" s="684">
        <f>Results!R16</f>
        <v>0</v>
      </c>
      <c r="Q50" s="682">
        <f>Results!S16</f>
        <v>0</v>
      </c>
      <c r="R50" s="683">
        <f>Results!T16</f>
        <v>0</v>
      </c>
      <c r="S50" s="684">
        <f>Results!U16</f>
        <v>0</v>
      </c>
      <c r="T50" s="682">
        <f>Results!V16</f>
        <v>0</v>
      </c>
      <c r="U50" s="683">
        <f>Results!W16</f>
        <v>0</v>
      </c>
      <c r="V50" s="684">
        <f>Results!X16</f>
        <v>0</v>
      </c>
      <c r="W50" s="735" t="s">
        <v>162</v>
      </c>
      <c r="X50" s="736"/>
      <c r="Y50" s="682">
        <f>Results!P24</f>
        <v>0</v>
      </c>
      <c r="Z50" s="683">
        <f>Results!Q24</f>
        <v>0</v>
      </c>
      <c r="AA50" s="684">
        <f>Results!R24</f>
        <v>0</v>
      </c>
      <c r="AB50" s="682">
        <f>Results!S24</f>
        <v>0</v>
      </c>
      <c r="AC50" s="683">
        <f>Results!T24</f>
        <v>0</v>
      </c>
      <c r="AD50" s="684">
        <f>Results!U24</f>
        <v>0</v>
      </c>
      <c r="AE50" s="682">
        <f>Results!V24</f>
        <v>0</v>
      </c>
      <c r="AF50" s="683">
        <f>Results!W24</f>
        <v>0</v>
      </c>
      <c r="AG50" s="684">
        <f>Results!X24</f>
        <v>0</v>
      </c>
      <c r="AH50" s="735" t="s">
        <v>162</v>
      </c>
      <c r="AI50" s="736"/>
      <c r="AJ50" s="670">
        <f>Results!P32</f>
        <v>0</v>
      </c>
      <c r="AK50" s="671">
        <f>Results!Q32</f>
        <v>0</v>
      </c>
      <c r="AL50" s="672">
        <f>Results!R32</f>
        <v>0</v>
      </c>
      <c r="AM50" s="671">
        <f>Results!S32</f>
        <v>0</v>
      </c>
      <c r="AN50" s="671">
        <f>Results!T32</f>
        <v>0</v>
      </c>
      <c r="AO50" s="672">
        <f>Results!U32</f>
        <v>0</v>
      </c>
      <c r="AP50" s="671">
        <f>Results!V32</f>
        <v>0</v>
      </c>
      <c r="AQ50" s="671">
        <f>Results!W32</f>
        <v>0</v>
      </c>
      <c r="AR50" s="672">
        <f>Results!X32</f>
        <v>0</v>
      </c>
      <c r="AS50" s="735" t="s">
        <v>162</v>
      </c>
      <c r="AT50" s="736"/>
      <c r="AU50" s="670">
        <f>Results!P40</f>
        <v>0</v>
      </c>
      <c r="AV50" s="671">
        <f>Results!Q40</f>
        <v>0</v>
      </c>
      <c r="AW50" s="672">
        <f>Results!R40</f>
        <v>0</v>
      </c>
      <c r="AX50" s="671">
        <f>Results!S40</f>
        <v>0</v>
      </c>
      <c r="AY50" s="671">
        <f>Results!T40</f>
        <v>0</v>
      </c>
      <c r="AZ50" s="672">
        <f>Results!U40</f>
        <v>0</v>
      </c>
      <c r="BA50" s="671">
        <f>Results!V40</f>
        <v>0</v>
      </c>
      <c r="BB50" s="671">
        <f>Results!W40</f>
        <v>0</v>
      </c>
      <c r="BC50" s="672">
        <f>Results!X40</f>
        <v>0</v>
      </c>
    </row>
    <row r="51" spans="1:55" ht="15" customHeight="1">
      <c r="A51" s="413"/>
      <c r="B51" s="413"/>
      <c r="C51" s="732" t="s">
        <v>73</v>
      </c>
      <c r="D51" s="733"/>
      <c r="E51" s="734"/>
      <c r="F51" s="742"/>
      <c r="G51" s="742"/>
      <c r="H51" s="742"/>
      <c r="I51" s="742"/>
      <c r="J51" s="742"/>
      <c r="K51" s="742"/>
      <c r="L51" s="287"/>
      <c r="M51" s="724" t="s">
        <v>159</v>
      </c>
      <c r="N51" s="670">
        <f>Results!P17</f>
        <v>0</v>
      </c>
      <c r="O51" s="671">
        <f>Results!Q17</f>
        <v>0</v>
      </c>
      <c r="P51" s="672">
        <f>Results!R17</f>
        <v>0</v>
      </c>
      <c r="Q51" s="670">
        <f>Results!S17</f>
        <v>0</v>
      </c>
      <c r="R51" s="671">
        <f>Results!T17</f>
        <v>0</v>
      </c>
      <c r="S51" s="672">
        <f>Results!U17</f>
        <v>0</v>
      </c>
      <c r="T51" s="670">
        <f>Results!V17</f>
        <v>0</v>
      </c>
      <c r="U51" s="671">
        <f>Results!W17</f>
        <v>0</v>
      </c>
      <c r="V51" s="672">
        <f>Results!X17</f>
        <v>0</v>
      </c>
      <c r="W51" s="287"/>
      <c r="X51" s="724" t="s">
        <v>159</v>
      </c>
      <c r="Y51" s="670">
        <f>Results!P25</f>
        <v>0</v>
      </c>
      <c r="Z51" s="671">
        <f>Results!Q25</f>
        <v>0</v>
      </c>
      <c r="AA51" s="672">
        <f>Results!R25</f>
        <v>0</v>
      </c>
      <c r="AB51" s="670">
        <f>Results!S25</f>
        <v>0</v>
      </c>
      <c r="AC51" s="671">
        <f>Results!T25</f>
        <v>0</v>
      </c>
      <c r="AD51" s="672">
        <f>Results!U25</f>
        <v>0</v>
      </c>
      <c r="AE51" s="670">
        <f>Results!V25</f>
        <v>0</v>
      </c>
      <c r="AF51" s="671">
        <f>Results!W25</f>
        <v>0</v>
      </c>
      <c r="AG51" s="672">
        <f>Results!X25</f>
        <v>0</v>
      </c>
      <c r="AH51" s="287"/>
      <c r="AI51" s="724" t="s">
        <v>159</v>
      </c>
      <c r="AJ51" s="670">
        <f>Results!P33</f>
        <v>0</v>
      </c>
      <c r="AK51" s="671">
        <f>Results!Q33</f>
        <v>0</v>
      </c>
      <c r="AL51" s="672">
        <f>Results!R33</f>
        <v>0</v>
      </c>
      <c r="AM51" s="671">
        <f>Results!S33</f>
        <v>0</v>
      </c>
      <c r="AN51" s="671">
        <f>Results!T33</f>
        <v>0</v>
      </c>
      <c r="AO51" s="672">
        <f>Results!U33</f>
        <v>0</v>
      </c>
      <c r="AP51" s="671">
        <f>Results!V33</f>
        <v>0</v>
      </c>
      <c r="AQ51" s="671">
        <f>Results!W33</f>
        <v>0</v>
      </c>
      <c r="AR51" s="672">
        <f>Results!X33</f>
        <v>0</v>
      </c>
      <c r="AS51" s="287"/>
      <c r="AT51" s="724" t="s">
        <v>159</v>
      </c>
      <c r="AU51" s="685">
        <f>Results!P41</f>
        <v>0</v>
      </c>
      <c r="AV51" s="686">
        <f>Results!Q41</f>
        <v>0</v>
      </c>
      <c r="AW51" s="687">
        <f>Results!R41</f>
        <v>0</v>
      </c>
      <c r="AX51" s="686">
        <f>Results!S41</f>
        <v>0</v>
      </c>
      <c r="AY51" s="686">
        <f>Results!T41</f>
        <v>0</v>
      </c>
      <c r="AZ51" s="687">
        <f>Results!U41</f>
        <v>0</v>
      </c>
      <c r="BA51" s="686">
        <f>Results!V41</f>
        <v>0</v>
      </c>
      <c r="BB51" s="686">
        <f>Results!W41</f>
        <v>0</v>
      </c>
      <c r="BC51" s="687">
        <f>Results!X41</f>
        <v>0</v>
      </c>
    </row>
    <row r="52" spans="1:55">
      <c r="A52" s="413"/>
      <c r="B52" s="417"/>
      <c r="C52" s="433" t="s">
        <v>4</v>
      </c>
      <c r="D52" s="434" t="s">
        <v>5</v>
      </c>
      <c r="E52" s="435">
        <v>18</v>
      </c>
      <c r="F52" s="318"/>
      <c r="G52" s="318"/>
      <c r="H52" s="318"/>
      <c r="I52" s="318"/>
      <c r="J52" s="318"/>
      <c r="K52" s="318"/>
      <c r="L52" s="723"/>
      <c r="M52" s="656" t="s">
        <v>288</v>
      </c>
      <c r="N52" s="688">
        <f>Results!P18</f>
        <v>0</v>
      </c>
      <c r="O52" s="689">
        <f>Results!Q18</f>
        <v>0</v>
      </c>
      <c r="P52" s="690">
        <f>Results!R18</f>
        <v>0</v>
      </c>
      <c r="Q52" s="688">
        <f>Results!S18</f>
        <v>0</v>
      </c>
      <c r="R52" s="689">
        <f>Results!T18</f>
        <v>0</v>
      </c>
      <c r="S52" s="690">
        <f>Results!U18</f>
        <v>0</v>
      </c>
      <c r="T52" s="688">
        <f>Results!V18</f>
        <v>0</v>
      </c>
      <c r="U52" s="689">
        <f>Results!W18</f>
        <v>0</v>
      </c>
      <c r="V52" s="690">
        <f>Results!X18</f>
        <v>0</v>
      </c>
      <c r="W52" s="723"/>
      <c r="X52" s="656" t="s">
        <v>288</v>
      </c>
      <c r="Y52" s="673">
        <f>Results!P26</f>
        <v>0</v>
      </c>
      <c r="Z52" s="674">
        <f>Results!Q26</f>
        <v>0</v>
      </c>
      <c r="AA52" s="675">
        <f>Results!R26</f>
        <v>0</v>
      </c>
      <c r="AB52" s="673">
        <f>Results!S26</f>
        <v>0</v>
      </c>
      <c r="AC52" s="674">
        <f>Results!T26</f>
        <v>0</v>
      </c>
      <c r="AD52" s="675">
        <f>Results!U26</f>
        <v>0</v>
      </c>
      <c r="AE52" s="673">
        <f>Results!V26</f>
        <v>0</v>
      </c>
      <c r="AF52" s="674">
        <f>Results!W26</f>
        <v>0</v>
      </c>
      <c r="AG52" s="675">
        <f>Results!X26</f>
        <v>0</v>
      </c>
      <c r="AH52" s="723"/>
      <c r="AI52" s="656" t="s">
        <v>288</v>
      </c>
      <c r="AJ52" s="688">
        <f>Results!P34</f>
        <v>0</v>
      </c>
      <c r="AK52" s="689">
        <f>Results!Q34</f>
        <v>0</v>
      </c>
      <c r="AL52" s="690">
        <f>Results!R34</f>
        <v>0</v>
      </c>
      <c r="AM52" s="689">
        <f>Results!S34</f>
        <v>0</v>
      </c>
      <c r="AN52" s="689">
        <f>Results!T34</f>
        <v>0</v>
      </c>
      <c r="AO52" s="690">
        <f>Results!U34</f>
        <v>0</v>
      </c>
      <c r="AP52" s="689">
        <f>Results!V34</f>
        <v>0</v>
      </c>
      <c r="AQ52" s="689">
        <f>Results!W34</f>
        <v>0</v>
      </c>
      <c r="AR52" s="690">
        <f>Results!X34</f>
        <v>0</v>
      </c>
      <c r="AS52" s="723"/>
      <c r="AT52" s="656" t="s">
        <v>288</v>
      </c>
      <c r="AU52" s="688">
        <f>Results!P42</f>
        <v>0</v>
      </c>
      <c r="AV52" s="689">
        <f>Results!Q42</f>
        <v>0</v>
      </c>
      <c r="AW52" s="690">
        <f>Results!R42</f>
        <v>0</v>
      </c>
      <c r="AX52" s="689">
        <f>Results!S42</f>
        <v>0</v>
      </c>
      <c r="AY52" s="689">
        <f>Results!T42</f>
        <v>0</v>
      </c>
      <c r="AZ52" s="690">
        <f>Results!U42</f>
        <v>0</v>
      </c>
      <c r="BA52" s="689">
        <f>Results!V42</f>
        <v>0</v>
      </c>
      <c r="BB52" s="689">
        <f>Results!W42</f>
        <v>0</v>
      </c>
      <c r="BC52" s="690">
        <f>Results!X42</f>
        <v>0</v>
      </c>
    </row>
    <row r="53" spans="1:55">
      <c r="A53" s="735" t="s">
        <v>161</v>
      </c>
      <c r="B53" s="736"/>
      <c r="C53" s="670">
        <f>Results!Y8</f>
        <v>0</v>
      </c>
      <c r="D53" s="671">
        <f>Results!Z8</f>
        <v>0</v>
      </c>
      <c r="E53" s="672">
        <f>Results!AA8</f>
        <v>0</v>
      </c>
      <c r="F53" s="340"/>
      <c r="G53" s="340"/>
      <c r="H53" s="340"/>
      <c r="I53" s="340"/>
      <c r="J53" s="340"/>
      <c r="K53" s="340"/>
      <c r="L53" s="427"/>
      <c r="M53" s="427"/>
      <c r="N53" s="416"/>
      <c r="O53" s="416"/>
      <c r="P53" s="416"/>
      <c r="Q53" s="416"/>
      <c r="R53" s="416"/>
      <c r="S53" s="416"/>
      <c r="T53" s="416"/>
      <c r="U53" s="416"/>
      <c r="V53" s="416"/>
      <c r="W53" s="427"/>
      <c r="X53" s="427"/>
      <c r="Y53" s="416"/>
      <c r="Z53" s="288"/>
      <c r="AA53" s="288"/>
      <c r="AB53" s="288"/>
      <c r="AC53" s="288"/>
      <c r="AD53" s="288"/>
      <c r="AE53" s="288"/>
      <c r="AF53" s="288"/>
      <c r="AG53" s="288"/>
      <c r="AH53" s="427"/>
      <c r="AI53" s="427"/>
      <c r="AJ53" s="288"/>
      <c r="AK53" s="288"/>
      <c r="AL53" s="288"/>
      <c r="AM53" s="288"/>
      <c r="AN53" s="288"/>
      <c r="AO53" s="288"/>
      <c r="AP53" s="288"/>
      <c r="AQ53" s="288"/>
      <c r="AR53" s="288"/>
      <c r="AS53" s="427"/>
      <c r="AT53" s="427"/>
      <c r="AU53" s="288"/>
      <c r="AV53" s="288"/>
      <c r="AW53" s="288"/>
      <c r="AX53" s="288"/>
      <c r="AY53" s="288"/>
      <c r="AZ53" s="288"/>
      <c r="BA53" s="288"/>
      <c r="BB53" s="288"/>
      <c r="BC53" s="288"/>
    </row>
    <row r="54" spans="1:55">
      <c r="A54" s="735" t="s">
        <v>162</v>
      </c>
      <c r="B54" s="736"/>
      <c r="C54" s="673">
        <f>Results!Y9</f>
        <v>0</v>
      </c>
      <c r="D54" s="674">
        <f>Results!Z9</f>
        <v>0</v>
      </c>
      <c r="E54" s="675">
        <f>Results!AA9</f>
        <v>0</v>
      </c>
      <c r="F54" s="340"/>
      <c r="G54" s="340"/>
      <c r="H54" s="340"/>
      <c r="I54" s="340"/>
      <c r="J54" s="340"/>
      <c r="K54" s="340"/>
      <c r="L54" s="425"/>
      <c r="M54" s="427"/>
      <c r="N54" s="729" t="s">
        <v>39</v>
      </c>
      <c r="O54" s="730"/>
      <c r="P54" s="731"/>
      <c r="Q54" s="414"/>
      <c r="R54" s="414"/>
      <c r="S54" s="414"/>
      <c r="T54" s="414"/>
      <c r="U54" s="414"/>
      <c r="V54" s="414"/>
      <c r="W54" s="425"/>
      <c r="X54" s="427"/>
      <c r="Y54" s="729" t="s">
        <v>39</v>
      </c>
      <c r="Z54" s="730"/>
      <c r="AA54" s="731"/>
      <c r="AB54" s="414"/>
      <c r="AC54" s="414"/>
      <c r="AD54" s="414"/>
      <c r="AE54" s="414"/>
      <c r="AF54" s="414"/>
      <c r="AG54" s="414"/>
      <c r="AH54" s="425"/>
      <c r="AI54" s="427"/>
      <c r="AJ54" s="729" t="s">
        <v>39</v>
      </c>
      <c r="AK54" s="730"/>
      <c r="AL54" s="731"/>
      <c r="AM54" s="414"/>
      <c r="AN54" s="414"/>
      <c r="AO54" s="414"/>
      <c r="AP54" s="414"/>
      <c r="AQ54" s="414"/>
      <c r="AR54" s="414"/>
      <c r="AS54" s="425"/>
      <c r="AT54" s="427"/>
      <c r="AU54" s="729" t="s">
        <v>39</v>
      </c>
      <c r="AV54" s="730"/>
      <c r="AW54" s="731"/>
      <c r="AX54" s="414"/>
      <c r="AY54" s="414"/>
      <c r="AZ54" s="414"/>
      <c r="BA54" s="414"/>
      <c r="BB54" s="414"/>
      <c r="BC54" s="414"/>
    </row>
    <row r="55" spans="1:55">
      <c r="A55" s="287"/>
      <c r="B55" s="287"/>
      <c r="C55" s="287"/>
      <c r="D55" s="287"/>
      <c r="E55" s="287"/>
      <c r="F55" s="287"/>
      <c r="G55" s="287"/>
      <c r="H55" s="287"/>
      <c r="I55" s="287"/>
      <c r="J55" s="287"/>
      <c r="K55" s="287"/>
      <c r="L55" s="288"/>
      <c r="M55" s="288"/>
      <c r="N55" s="732" t="s">
        <v>73</v>
      </c>
      <c r="O55" s="733"/>
      <c r="P55" s="734"/>
      <c r="Q55" s="655"/>
      <c r="R55" s="655"/>
      <c r="S55" s="655"/>
      <c r="T55" s="655"/>
      <c r="U55" s="655"/>
      <c r="V55" s="655"/>
      <c r="W55" s="288"/>
      <c r="X55" s="288"/>
      <c r="Y55" s="732" t="s">
        <v>73</v>
      </c>
      <c r="Z55" s="733"/>
      <c r="AA55" s="734"/>
      <c r="AB55" s="655"/>
      <c r="AC55" s="655"/>
      <c r="AD55" s="655"/>
      <c r="AE55" s="655"/>
      <c r="AF55" s="655"/>
      <c r="AG55" s="655"/>
      <c r="AH55" s="288"/>
      <c r="AI55" s="288"/>
      <c r="AJ55" s="732" t="s">
        <v>73</v>
      </c>
      <c r="AK55" s="733"/>
      <c r="AL55" s="734"/>
      <c r="AM55" s="655"/>
      <c r="AN55" s="655"/>
      <c r="AO55" s="655"/>
      <c r="AP55" s="655"/>
      <c r="AQ55" s="655"/>
      <c r="AR55" s="655"/>
      <c r="AS55" s="288"/>
      <c r="AT55" s="288"/>
      <c r="AU55" s="732" t="s">
        <v>73</v>
      </c>
      <c r="AV55" s="733"/>
      <c r="AW55" s="734"/>
      <c r="AX55" s="655"/>
      <c r="AY55" s="655"/>
      <c r="AZ55" s="655"/>
      <c r="BA55" s="655"/>
      <c r="BB55" s="655"/>
      <c r="BC55" s="655"/>
    </row>
    <row r="56" spans="1:55">
      <c r="A56" s="287"/>
      <c r="B56" s="287"/>
      <c r="C56" s="287"/>
      <c r="D56" s="287"/>
      <c r="E56" s="287"/>
      <c r="F56" s="287"/>
      <c r="G56" s="287"/>
      <c r="H56" s="287"/>
      <c r="I56" s="287"/>
      <c r="J56" s="287"/>
      <c r="K56" s="287"/>
      <c r="L56" s="288"/>
      <c r="M56" s="409"/>
      <c r="N56" s="433" t="s">
        <v>4</v>
      </c>
      <c r="O56" s="434" t="s">
        <v>5</v>
      </c>
      <c r="P56" s="435">
        <v>18</v>
      </c>
      <c r="Q56" s="655"/>
      <c r="R56" s="655"/>
      <c r="S56" s="655"/>
      <c r="T56" s="655"/>
      <c r="U56" s="655"/>
      <c r="V56" s="655"/>
      <c r="W56" s="288"/>
      <c r="X56" s="409"/>
      <c r="Y56" s="433" t="s">
        <v>4</v>
      </c>
      <c r="Z56" s="434" t="s">
        <v>5</v>
      </c>
      <c r="AA56" s="435">
        <v>18</v>
      </c>
      <c r="AB56" s="655"/>
      <c r="AC56" s="655"/>
      <c r="AD56" s="655"/>
      <c r="AE56" s="655"/>
      <c r="AF56" s="655"/>
      <c r="AG56" s="655"/>
      <c r="AH56" s="288"/>
      <c r="AI56" s="409"/>
      <c r="AJ56" s="433" t="s">
        <v>4</v>
      </c>
      <c r="AK56" s="434" t="s">
        <v>5</v>
      </c>
      <c r="AL56" s="435">
        <v>18</v>
      </c>
      <c r="AM56" s="655"/>
      <c r="AN56" s="655"/>
      <c r="AO56" s="655"/>
      <c r="AP56" s="655"/>
      <c r="AQ56" s="655"/>
      <c r="AR56" s="655"/>
      <c r="AS56" s="288"/>
      <c r="AT56" s="409"/>
      <c r="AU56" s="433" t="s">
        <v>4</v>
      </c>
      <c r="AV56" s="434" t="s">
        <v>5</v>
      </c>
      <c r="AW56" s="435">
        <v>18</v>
      </c>
      <c r="AX56" s="655"/>
      <c r="AY56" s="655"/>
      <c r="AZ56" s="655"/>
      <c r="BA56" s="655"/>
      <c r="BB56" s="655"/>
      <c r="BC56" s="655"/>
    </row>
    <row r="57" spans="1:55">
      <c r="A57" s="287"/>
      <c r="C57" s="287"/>
      <c r="D57" s="287"/>
      <c r="E57" s="287"/>
      <c r="F57" s="287"/>
      <c r="G57" s="287"/>
      <c r="H57" s="287"/>
      <c r="I57" s="287"/>
      <c r="J57" s="287"/>
      <c r="K57" s="287"/>
      <c r="L57" s="735" t="s">
        <v>161</v>
      </c>
      <c r="M57" s="736"/>
      <c r="N57" s="670">
        <f>Results!Y15</f>
        <v>0</v>
      </c>
      <c r="O57" s="671">
        <f>Results!Z15</f>
        <v>0</v>
      </c>
      <c r="P57" s="672">
        <f>Results!AA15</f>
        <v>0</v>
      </c>
      <c r="Q57" s="671"/>
      <c r="R57" s="671"/>
      <c r="S57" s="671"/>
      <c r="T57" s="671"/>
      <c r="U57" s="671"/>
      <c r="V57" s="671"/>
      <c r="W57" s="735" t="s">
        <v>161</v>
      </c>
      <c r="X57" s="736"/>
      <c r="Y57" s="704">
        <f>Results!Y23</f>
        <v>0</v>
      </c>
      <c r="Z57" s="704">
        <f>Results!Z23</f>
        <v>0</v>
      </c>
      <c r="AA57" s="672">
        <f>Results!AA23</f>
        <v>0</v>
      </c>
      <c r="AB57" s="671"/>
      <c r="AC57" s="671"/>
      <c r="AD57" s="671"/>
      <c r="AE57" s="671"/>
      <c r="AF57" s="671"/>
      <c r="AG57" s="671"/>
      <c r="AH57" s="735" t="s">
        <v>161</v>
      </c>
      <c r="AI57" s="736"/>
      <c r="AJ57" s="670">
        <f>Results!Y31</f>
        <v>0</v>
      </c>
      <c r="AK57" s="671">
        <f>Results!Z31</f>
        <v>0</v>
      </c>
      <c r="AL57" s="672">
        <f>Results!AA31</f>
        <v>0</v>
      </c>
      <c r="AM57" s="671"/>
      <c r="AN57" s="671"/>
      <c r="AO57" s="671"/>
      <c r="AP57" s="671"/>
      <c r="AQ57" s="671"/>
      <c r="AR57" s="671"/>
      <c r="AS57" s="735" t="s">
        <v>161</v>
      </c>
      <c r="AT57" s="736"/>
      <c r="AU57" s="670">
        <f>Results!Y39</f>
        <v>0</v>
      </c>
      <c r="AV57" s="671">
        <f>Results!Z39</f>
        <v>0</v>
      </c>
      <c r="AW57" s="672">
        <f>Results!AA39</f>
        <v>0</v>
      </c>
      <c r="AX57" s="671"/>
      <c r="AY57" s="671"/>
      <c r="AZ57" s="671"/>
      <c r="BA57" s="671"/>
      <c r="BB57" s="671"/>
      <c r="BC57" s="671"/>
    </row>
    <row r="58" spans="1:55">
      <c r="A58" s="287"/>
      <c r="B58" s="287"/>
      <c r="C58" s="287"/>
      <c r="D58" s="287"/>
      <c r="E58" s="287"/>
      <c r="F58" s="287"/>
      <c r="G58" s="287"/>
      <c r="H58" s="287"/>
      <c r="I58" s="287"/>
      <c r="J58" s="287"/>
      <c r="K58" s="287"/>
      <c r="L58" s="735" t="s">
        <v>162</v>
      </c>
      <c r="M58" s="736"/>
      <c r="N58" s="682">
        <f>Results!Y16</f>
        <v>0</v>
      </c>
      <c r="O58" s="683">
        <f>Results!Z16</f>
        <v>0</v>
      </c>
      <c r="P58" s="684">
        <f>Results!AA16</f>
        <v>0</v>
      </c>
      <c r="Q58" s="671"/>
      <c r="R58" s="671"/>
      <c r="S58" s="671"/>
      <c r="T58" s="671"/>
      <c r="U58" s="671"/>
      <c r="V58" s="671"/>
      <c r="W58" s="735" t="s">
        <v>162</v>
      </c>
      <c r="X58" s="736"/>
      <c r="Y58" s="704">
        <f>Results!Y24</f>
        <v>0</v>
      </c>
      <c r="Z58" s="704">
        <f>Results!Z24</f>
        <v>0</v>
      </c>
      <c r="AA58" s="672">
        <f>Results!AA24</f>
        <v>0</v>
      </c>
      <c r="AB58" s="671"/>
      <c r="AC58" s="671"/>
      <c r="AD58" s="671"/>
      <c r="AE58" s="671"/>
      <c r="AF58" s="671"/>
      <c r="AG58" s="671"/>
      <c r="AH58" s="735" t="s">
        <v>162</v>
      </c>
      <c r="AI58" s="736"/>
      <c r="AJ58" s="682">
        <f>Results!Y32</f>
        <v>0</v>
      </c>
      <c r="AK58" s="683">
        <f>Results!Z32</f>
        <v>0</v>
      </c>
      <c r="AL58" s="684">
        <f>Results!AA32</f>
        <v>0</v>
      </c>
      <c r="AM58" s="671"/>
      <c r="AN58" s="671"/>
      <c r="AO58" s="671"/>
      <c r="AP58" s="671"/>
      <c r="AQ58" s="671"/>
      <c r="AR58" s="671"/>
      <c r="AS58" s="735" t="s">
        <v>162</v>
      </c>
      <c r="AT58" s="736"/>
      <c r="AU58" s="670">
        <f>Results!Y40</f>
        <v>0</v>
      </c>
      <c r="AV58" s="671">
        <f>Results!Z40</f>
        <v>0</v>
      </c>
      <c r="AW58" s="672">
        <f>Results!AA40</f>
        <v>0</v>
      </c>
      <c r="AX58" s="671"/>
      <c r="AY58" s="671"/>
      <c r="AZ58" s="671"/>
      <c r="BA58" s="671"/>
      <c r="BB58" s="671"/>
      <c r="BC58" s="671"/>
    </row>
    <row r="59" spans="1:55" ht="15" customHeight="1">
      <c r="A59" s="287"/>
      <c r="B59" s="287"/>
      <c r="C59" s="287"/>
      <c r="D59" s="287"/>
      <c r="E59" s="287"/>
      <c r="F59" s="287"/>
      <c r="G59" s="287"/>
      <c r="H59" s="287"/>
      <c r="I59" s="287"/>
      <c r="J59" s="287"/>
      <c r="K59" s="287"/>
      <c r="L59" s="287"/>
      <c r="M59" s="724" t="s">
        <v>159</v>
      </c>
      <c r="N59" s="670">
        <f>Results!Y17</f>
        <v>0</v>
      </c>
      <c r="O59" s="671">
        <f>Results!Z17</f>
        <v>0</v>
      </c>
      <c r="P59" s="672">
        <f>Results!AA17</f>
        <v>0</v>
      </c>
      <c r="Q59" s="671"/>
      <c r="R59" s="671"/>
      <c r="S59" s="671"/>
      <c r="T59" s="671"/>
      <c r="U59" s="671"/>
      <c r="V59" s="671"/>
      <c r="W59" s="287"/>
      <c r="X59" s="724" t="s">
        <v>159</v>
      </c>
      <c r="Y59" s="705">
        <f>Results!Y25</f>
        <v>0</v>
      </c>
      <c r="Z59" s="705">
        <f>Results!Z25</f>
        <v>0</v>
      </c>
      <c r="AA59" s="687">
        <f>Results!AA25</f>
        <v>0</v>
      </c>
      <c r="AB59" s="671"/>
      <c r="AC59" s="671"/>
      <c r="AD59" s="671"/>
      <c r="AE59" s="671"/>
      <c r="AF59" s="671"/>
      <c r="AG59" s="671"/>
      <c r="AH59" s="287"/>
      <c r="AI59" s="724" t="s">
        <v>159</v>
      </c>
      <c r="AJ59" s="670">
        <f>Results!Y33</f>
        <v>0</v>
      </c>
      <c r="AK59" s="671">
        <f>Results!Z33</f>
        <v>0</v>
      </c>
      <c r="AL59" s="672">
        <f>Results!AA33</f>
        <v>0</v>
      </c>
      <c r="AM59" s="671"/>
      <c r="AN59" s="671"/>
      <c r="AO59" s="671"/>
      <c r="AP59" s="671"/>
      <c r="AQ59" s="671"/>
      <c r="AR59" s="671"/>
      <c r="AS59" s="287"/>
      <c r="AT59" s="724" t="s">
        <v>159</v>
      </c>
      <c r="AU59" s="685">
        <f>Results!Y41</f>
        <v>0</v>
      </c>
      <c r="AV59" s="686">
        <f>Results!Z41</f>
        <v>0</v>
      </c>
      <c r="AW59" s="687">
        <f>Results!AA41</f>
        <v>0</v>
      </c>
      <c r="AX59" s="671"/>
      <c r="AY59" s="671"/>
      <c r="AZ59" s="671"/>
      <c r="BA59" s="671"/>
      <c r="BB59" s="671"/>
      <c r="BC59" s="671"/>
    </row>
    <row r="60" spans="1:55">
      <c r="A60" s="287"/>
      <c r="B60" s="287"/>
      <c r="C60" s="287"/>
      <c r="D60" s="287"/>
      <c r="E60" s="287"/>
      <c r="F60" s="287"/>
      <c r="G60" s="287"/>
      <c r="H60" s="287"/>
      <c r="I60" s="287"/>
      <c r="J60" s="287"/>
      <c r="K60" s="287"/>
      <c r="L60" s="723"/>
      <c r="M60" s="656" t="s">
        <v>288</v>
      </c>
      <c r="N60" s="688">
        <f>Results!Y18</f>
        <v>0</v>
      </c>
      <c r="O60" s="689">
        <f>Results!Z18</f>
        <v>0</v>
      </c>
      <c r="P60" s="690">
        <f>Results!AA18</f>
        <v>0</v>
      </c>
      <c r="Q60" s="691"/>
      <c r="R60" s="691"/>
      <c r="S60" s="691"/>
      <c r="T60" s="691"/>
      <c r="U60" s="691"/>
      <c r="V60" s="691"/>
      <c r="W60" s="723"/>
      <c r="X60" s="656" t="s">
        <v>288</v>
      </c>
      <c r="Y60" s="706">
        <f>Results!Y26</f>
        <v>0</v>
      </c>
      <c r="Z60" s="706">
        <f>Results!Z26</f>
        <v>0</v>
      </c>
      <c r="AA60" s="690">
        <f>Results!AA26</f>
        <v>0</v>
      </c>
      <c r="AB60" s="671"/>
      <c r="AC60" s="671"/>
      <c r="AD60" s="671"/>
      <c r="AE60" s="671"/>
      <c r="AF60" s="671"/>
      <c r="AG60" s="671"/>
      <c r="AH60" s="723"/>
      <c r="AI60" s="656" t="s">
        <v>288</v>
      </c>
      <c r="AJ60" s="688">
        <f>Results!Y34</f>
        <v>0</v>
      </c>
      <c r="AK60" s="689">
        <f>Results!Z34</f>
        <v>0</v>
      </c>
      <c r="AL60" s="690">
        <f>Results!AA34</f>
        <v>0</v>
      </c>
      <c r="AM60" s="671"/>
      <c r="AN60" s="671"/>
      <c r="AO60" s="671"/>
      <c r="AP60" s="671"/>
      <c r="AQ60" s="671"/>
      <c r="AR60" s="671"/>
      <c r="AS60" s="723"/>
      <c r="AT60" s="656" t="s">
        <v>288</v>
      </c>
      <c r="AU60" s="688">
        <f>Results!Y42</f>
        <v>0</v>
      </c>
      <c r="AV60" s="689">
        <f>Results!Z42</f>
        <v>0</v>
      </c>
      <c r="AW60" s="690">
        <f>Results!AA42</f>
        <v>0</v>
      </c>
      <c r="AX60" s="671"/>
      <c r="AY60" s="671"/>
      <c r="AZ60" s="671"/>
      <c r="BA60" s="671"/>
      <c r="BB60" s="671"/>
      <c r="BC60" s="691"/>
    </row>
    <row r="61" spans="1:55">
      <c r="A61" s="287"/>
      <c r="B61" s="287"/>
      <c r="C61" s="287"/>
      <c r="D61" s="287"/>
      <c r="E61" s="287"/>
      <c r="F61" s="287"/>
      <c r="G61" s="287"/>
      <c r="H61" s="287"/>
      <c r="I61" s="287"/>
      <c r="J61" s="287"/>
      <c r="K61" s="287"/>
      <c r="L61" s="287"/>
      <c r="M61" s="287"/>
      <c r="N61" s="288"/>
      <c r="O61" s="288"/>
      <c r="P61" s="288"/>
      <c r="Q61" s="288"/>
      <c r="R61" s="288"/>
      <c r="S61" s="288"/>
      <c r="T61" s="288"/>
      <c r="U61" s="288"/>
      <c r="V61" s="288"/>
      <c r="W61" s="287"/>
      <c r="X61" s="287"/>
      <c r="Y61" s="287"/>
      <c r="Z61" s="287"/>
      <c r="AA61" s="287"/>
      <c r="AB61" s="287"/>
      <c r="AC61" s="287"/>
      <c r="AD61" s="287"/>
      <c r="AE61" s="287"/>
      <c r="AF61" s="287"/>
      <c r="AG61" s="287"/>
      <c r="AH61" s="287"/>
      <c r="AI61" s="287"/>
      <c r="AJ61" s="288"/>
      <c r="AK61" s="288"/>
      <c r="AL61" s="288"/>
      <c r="AM61" s="288"/>
      <c r="AN61" s="288"/>
      <c r="AO61" s="288"/>
      <c r="AP61" s="288"/>
      <c r="AQ61" s="288"/>
      <c r="AR61" s="288"/>
      <c r="AS61" s="288"/>
      <c r="AT61" s="288"/>
      <c r="AU61" s="288"/>
      <c r="AV61" s="288"/>
      <c r="AW61" s="288"/>
      <c r="AX61" s="288"/>
      <c r="AY61" s="288"/>
      <c r="AZ61" s="288"/>
      <c r="BA61" s="288"/>
      <c r="BB61" s="288"/>
      <c r="BC61" s="288"/>
    </row>
    <row r="62" spans="1:55">
      <c r="A62" s="287"/>
      <c r="B62" s="287"/>
      <c r="C62" s="287"/>
      <c r="D62" s="287"/>
      <c r="E62" s="287"/>
      <c r="F62" s="287"/>
      <c r="G62" s="287"/>
      <c r="H62" s="287"/>
      <c r="I62" s="287"/>
      <c r="J62" s="287"/>
      <c r="K62" s="287"/>
      <c r="L62" s="287"/>
      <c r="M62" s="287"/>
      <c r="N62" s="288"/>
      <c r="O62" s="288"/>
      <c r="P62" s="288"/>
      <c r="Q62" s="288"/>
      <c r="R62" s="288"/>
      <c r="S62" s="288"/>
      <c r="T62" s="288"/>
      <c r="U62" s="288"/>
      <c r="V62" s="288"/>
      <c r="W62" s="287"/>
      <c r="X62" s="287"/>
      <c r="Y62" s="287"/>
      <c r="Z62" s="287"/>
      <c r="AA62" s="287"/>
      <c r="AB62" s="287"/>
      <c r="AC62" s="287"/>
      <c r="AD62" s="287"/>
      <c r="AE62" s="287"/>
      <c r="AF62" s="287"/>
      <c r="AG62" s="287"/>
      <c r="AH62" s="287"/>
      <c r="AI62" s="287"/>
      <c r="AJ62" s="288"/>
      <c r="AK62" s="288"/>
      <c r="AL62" s="288"/>
      <c r="AM62" s="288"/>
      <c r="AN62" s="288"/>
      <c r="AO62" s="288"/>
      <c r="AP62" s="288"/>
      <c r="AQ62" s="288"/>
      <c r="AR62" s="288"/>
      <c r="AS62" s="288"/>
      <c r="AT62" s="288"/>
      <c r="AU62" s="288"/>
      <c r="AV62" s="288"/>
      <c r="AW62" s="288"/>
      <c r="AX62" s="288"/>
      <c r="AY62" s="288"/>
      <c r="AZ62" s="288"/>
      <c r="BA62" s="288"/>
      <c r="BB62" s="288"/>
      <c r="BC62" s="288"/>
    </row>
    <row r="63" spans="1:55">
      <c r="A63" s="287"/>
      <c r="B63" s="287"/>
      <c r="C63" s="287"/>
      <c r="D63" s="287"/>
      <c r="E63" s="287"/>
      <c r="F63" s="287"/>
      <c r="G63" s="287"/>
      <c r="H63" s="287"/>
      <c r="I63" s="287"/>
      <c r="J63" s="287"/>
      <c r="K63" s="287"/>
      <c r="L63" s="287"/>
      <c r="M63" s="287"/>
      <c r="N63" s="287"/>
      <c r="O63" s="287"/>
      <c r="P63" s="287"/>
      <c r="Q63" s="287"/>
      <c r="R63" s="287"/>
      <c r="S63" s="287"/>
      <c r="T63" s="287"/>
      <c r="U63" s="287"/>
      <c r="V63" s="287"/>
      <c r="W63" s="287"/>
      <c r="X63" s="287"/>
      <c r="Y63" s="287"/>
      <c r="Z63" s="287"/>
      <c r="AA63" s="287"/>
      <c r="AB63" s="287"/>
      <c r="AC63" s="287"/>
      <c r="AD63" s="287"/>
      <c r="AE63" s="287"/>
      <c r="AF63" s="287"/>
      <c r="AG63" s="287"/>
      <c r="AH63" s="287"/>
      <c r="AI63" s="287"/>
      <c r="AJ63" s="287"/>
      <c r="AK63" s="287"/>
      <c r="AL63" s="287"/>
      <c r="AM63" s="287"/>
      <c r="AN63" s="287"/>
      <c r="AO63" s="287"/>
      <c r="AP63" s="287"/>
      <c r="AQ63" s="287"/>
      <c r="AR63" s="287"/>
      <c r="AS63" s="287"/>
      <c r="AT63" s="287"/>
      <c r="AU63" s="287"/>
      <c r="AV63" s="287"/>
      <c r="AW63" s="287"/>
      <c r="AX63" s="287"/>
      <c r="AY63" s="287"/>
      <c r="AZ63" s="287"/>
      <c r="BA63" s="287"/>
      <c r="BB63" s="287"/>
      <c r="BC63" s="287"/>
    </row>
    <row r="64" spans="1:55">
      <c r="A64" s="287"/>
      <c r="B64" s="287"/>
      <c r="C64" s="287"/>
      <c r="D64" s="287"/>
      <c r="E64" s="287"/>
      <c r="F64" s="287"/>
      <c r="G64" s="287"/>
      <c r="H64" s="287"/>
      <c r="I64" s="287"/>
      <c r="J64" s="287"/>
      <c r="K64" s="287"/>
      <c r="L64" s="287"/>
      <c r="M64" s="287"/>
      <c r="N64" s="287"/>
      <c r="O64" s="287"/>
      <c r="P64" s="287"/>
      <c r="Q64" s="287"/>
      <c r="R64" s="287"/>
      <c r="S64" s="287"/>
      <c r="T64" s="287"/>
      <c r="U64" s="287"/>
      <c r="V64" s="287"/>
      <c r="W64" s="287"/>
      <c r="X64" s="287"/>
      <c r="Y64" s="287"/>
      <c r="Z64" s="287"/>
      <c r="AA64" s="287"/>
      <c r="AB64" s="287"/>
      <c r="AC64" s="287"/>
      <c r="AD64" s="287"/>
      <c r="AE64" s="287"/>
      <c r="AF64" s="287"/>
      <c r="AG64" s="287"/>
      <c r="AH64" s="287"/>
      <c r="AI64" s="287"/>
      <c r="AJ64" s="287"/>
      <c r="AK64" s="287"/>
      <c r="AL64" s="287"/>
      <c r="AM64" s="287"/>
      <c r="AN64" s="287"/>
      <c r="AO64" s="287"/>
      <c r="AP64" s="287"/>
      <c r="AQ64" s="287"/>
      <c r="AR64" s="287"/>
      <c r="AS64" s="287"/>
      <c r="AT64" s="287"/>
      <c r="AU64" s="287"/>
      <c r="AV64" s="287"/>
      <c r="AW64" s="287"/>
      <c r="AX64" s="287"/>
      <c r="AY64" s="287"/>
      <c r="AZ64" s="287"/>
      <c r="BA64" s="287"/>
      <c r="BB64" s="287"/>
      <c r="BC64" s="287"/>
    </row>
    <row r="65" spans="1:55">
      <c r="A65" s="287"/>
      <c r="B65" s="287"/>
      <c r="C65" s="287"/>
      <c r="D65" s="287"/>
      <c r="E65" s="287"/>
      <c r="F65" s="287"/>
      <c r="G65" s="287"/>
      <c r="H65" s="287"/>
      <c r="I65" s="287"/>
      <c r="J65" s="287"/>
      <c r="K65" s="287"/>
      <c r="L65" s="287"/>
      <c r="M65" s="287"/>
      <c r="N65" s="287"/>
      <c r="O65" s="287"/>
      <c r="P65" s="287"/>
      <c r="Q65" s="287"/>
      <c r="R65" s="287"/>
      <c r="S65" s="287"/>
      <c r="T65" s="287"/>
      <c r="U65" s="287"/>
      <c r="V65" s="287"/>
      <c r="W65" s="287"/>
      <c r="X65" s="287"/>
      <c r="Y65" s="287"/>
      <c r="Z65" s="287"/>
      <c r="AA65" s="287"/>
      <c r="AB65" s="287"/>
      <c r="AC65" s="287"/>
      <c r="AD65" s="287"/>
      <c r="AE65" s="287"/>
      <c r="AF65" s="287"/>
      <c r="AG65" s="287"/>
      <c r="AH65" s="287"/>
      <c r="AI65" s="287"/>
      <c r="AJ65" s="287"/>
      <c r="AK65" s="287"/>
      <c r="AL65" s="287"/>
      <c r="AM65" s="287"/>
      <c r="AN65" s="287"/>
      <c r="AO65" s="287"/>
      <c r="AP65" s="287"/>
      <c r="AQ65" s="287"/>
      <c r="AR65" s="287"/>
      <c r="AS65" s="287"/>
      <c r="AT65" s="287"/>
      <c r="AU65" s="287"/>
      <c r="AV65" s="287"/>
      <c r="AW65" s="287"/>
      <c r="AX65" s="287"/>
      <c r="AY65" s="287"/>
      <c r="AZ65" s="287"/>
      <c r="BA65" s="287"/>
      <c r="BB65" s="287"/>
      <c r="BC65" s="287"/>
    </row>
    <row r="66" spans="1:55">
      <c r="A66" s="287"/>
      <c r="B66" s="287"/>
      <c r="C66" s="287"/>
      <c r="D66" s="287"/>
      <c r="E66" s="287"/>
      <c r="F66" s="287"/>
      <c r="G66" s="287"/>
      <c r="H66" s="287"/>
      <c r="I66" s="287"/>
      <c r="J66" s="287"/>
      <c r="K66" s="287"/>
      <c r="L66" s="287"/>
      <c r="M66" s="287"/>
      <c r="N66" s="287"/>
      <c r="O66" s="287"/>
      <c r="P66" s="287"/>
      <c r="Q66" s="287"/>
      <c r="R66" s="287"/>
      <c r="S66" s="287"/>
      <c r="T66" s="287"/>
      <c r="U66" s="287"/>
      <c r="V66" s="287"/>
      <c r="W66" s="287"/>
      <c r="X66" s="287"/>
      <c r="Y66" s="287"/>
      <c r="Z66" s="287"/>
      <c r="AA66" s="287"/>
      <c r="AB66" s="287"/>
      <c r="AC66" s="287"/>
      <c r="AD66" s="287"/>
      <c r="AE66" s="287"/>
      <c r="AF66" s="287"/>
      <c r="AG66" s="287"/>
      <c r="AH66" s="287"/>
      <c r="AI66" s="287"/>
      <c r="AJ66" s="287"/>
      <c r="AK66" s="287"/>
      <c r="AL66" s="287"/>
      <c r="AM66" s="287"/>
      <c r="AN66" s="287"/>
      <c r="AO66" s="287"/>
      <c r="AP66" s="287"/>
      <c r="AQ66" s="287"/>
      <c r="AR66" s="287"/>
      <c r="AS66" s="287"/>
      <c r="AT66" s="287"/>
      <c r="AU66" s="287"/>
      <c r="AV66" s="287"/>
      <c r="AW66" s="287"/>
      <c r="AX66" s="287"/>
      <c r="AY66" s="287"/>
      <c r="AZ66" s="287"/>
      <c r="BA66" s="287"/>
      <c r="BB66" s="287"/>
      <c r="BC66" s="287"/>
    </row>
    <row r="67" spans="1:55">
      <c r="A67" s="287"/>
      <c r="B67" s="287"/>
      <c r="C67" s="287"/>
      <c r="D67" s="287"/>
      <c r="E67" s="287"/>
      <c r="F67" s="287"/>
      <c r="G67" s="287"/>
      <c r="H67" s="287"/>
      <c r="I67" s="287"/>
      <c r="J67" s="287"/>
      <c r="K67" s="287"/>
      <c r="L67" s="287"/>
      <c r="M67" s="287"/>
      <c r="N67" s="287"/>
      <c r="O67" s="287"/>
      <c r="P67" s="287"/>
      <c r="Q67" s="287"/>
      <c r="R67" s="287"/>
      <c r="S67" s="287"/>
      <c r="T67" s="287"/>
      <c r="U67" s="287"/>
      <c r="V67" s="287"/>
      <c r="W67" s="287"/>
      <c r="X67" s="287"/>
      <c r="Y67" s="287"/>
      <c r="Z67" s="287"/>
      <c r="AA67" s="287"/>
      <c r="AB67" s="287"/>
      <c r="AC67" s="287"/>
      <c r="AD67" s="287"/>
      <c r="AE67" s="287"/>
      <c r="AF67" s="287"/>
      <c r="AG67" s="287"/>
      <c r="AH67" s="287"/>
      <c r="AI67" s="287"/>
      <c r="AJ67" s="287"/>
      <c r="AK67" s="287"/>
      <c r="AL67" s="287"/>
      <c r="AM67" s="287"/>
      <c r="AN67" s="287"/>
      <c r="AO67" s="287"/>
      <c r="AP67" s="287"/>
      <c r="AQ67" s="287"/>
      <c r="AR67" s="287"/>
      <c r="AS67" s="287"/>
      <c r="AT67" s="287"/>
      <c r="AU67" s="287"/>
      <c r="AV67" s="287"/>
      <c r="AW67" s="287"/>
      <c r="AX67" s="287"/>
      <c r="AY67" s="287"/>
      <c r="AZ67" s="287"/>
      <c r="BA67" s="287"/>
      <c r="BB67" s="287"/>
      <c r="BC67" s="287"/>
    </row>
    <row r="68" spans="1:55">
      <c r="A68" s="287"/>
      <c r="B68" s="287"/>
      <c r="C68" s="287"/>
      <c r="D68" s="287"/>
      <c r="E68" s="287"/>
      <c r="F68" s="287"/>
      <c r="G68" s="287"/>
      <c r="H68" s="287"/>
      <c r="I68" s="287"/>
      <c r="J68" s="287"/>
      <c r="K68" s="287"/>
      <c r="L68" s="287"/>
      <c r="M68" s="287"/>
      <c r="N68" s="287"/>
      <c r="O68" s="287"/>
      <c r="P68" s="287"/>
      <c r="Q68" s="287"/>
      <c r="R68" s="287"/>
      <c r="S68" s="287"/>
      <c r="T68" s="287"/>
      <c r="U68" s="287"/>
      <c r="V68" s="287"/>
      <c r="W68" s="287"/>
      <c r="X68" s="287"/>
      <c r="Y68" s="287"/>
      <c r="Z68" s="287"/>
      <c r="AA68" s="287"/>
      <c r="AB68" s="287"/>
      <c r="AC68" s="287"/>
      <c r="AD68" s="287"/>
      <c r="AE68" s="287"/>
      <c r="AF68" s="287"/>
      <c r="AG68" s="287"/>
      <c r="AH68" s="287"/>
      <c r="AI68" s="287"/>
      <c r="AJ68" s="287"/>
      <c r="AK68" s="287"/>
      <c r="AL68" s="287"/>
      <c r="AM68" s="287"/>
      <c r="AN68" s="287"/>
      <c r="AO68" s="287"/>
      <c r="AP68" s="287"/>
      <c r="AQ68" s="287"/>
      <c r="AR68" s="287"/>
      <c r="AS68" s="287"/>
      <c r="AT68" s="287"/>
      <c r="AU68" s="287"/>
      <c r="AV68" s="287"/>
      <c r="AW68" s="287"/>
      <c r="AX68" s="287"/>
      <c r="AY68" s="287"/>
      <c r="AZ68" s="287"/>
      <c r="BA68" s="287"/>
      <c r="BB68" s="287"/>
      <c r="BC68" s="287"/>
    </row>
    <row r="69" spans="1:55">
      <c r="A69" s="287"/>
      <c r="B69" s="287"/>
      <c r="C69" s="287"/>
      <c r="D69" s="287"/>
      <c r="E69" s="287"/>
      <c r="F69" s="287"/>
      <c r="G69" s="287"/>
      <c r="H69" s="287"/>
      <c r="I69" s="287"/>
      <c r="J69" s="287"/>
      <c r="K69" s="287"/>
      <c r="L69" s="287"/>
      <c r="M69" s="287"/>
      <c r="N69" s="287"/>
      <c r="O69" s="287"/>
      <c r="P69" s="287"/>
      <c r="Q69" s="287"/>
      <c r="R69" s="287"/>
      <c r="S69" s="287"/>
      <c r="T69" s="287"/>
      <c r="U69" s="287"/>
      <c r="V69" s="287"/>
      <c r="W69" s="287"/>
      <c r="X69" s="287"/>
      <c r="Y69" s="287"/>
      <c r="Z69" s="287"/>
      <c r="AA69" s="287"/>
      <c r="AB69" s="287"/>
      <c r="AC69" s="287"/>
      <c r="AD69" s="287"/>
      <c r="AE69" s="287"/>
      <c r="AF69" s="287"/>
      <c r="AG69" s="287"/>
      <c r="AH69" s="287"/>
      <c r="AI69" s="287"/>
      <c r="AJ69" s="287"/>
      <c r="AK69" s="287"/>
      <c r="AL69" s="287"/>
      <c r="AM69" s="287"/>
      <c r="AN69" s="287"/>
      <c r="AO69" s="287"/>
      <c r="AP69" s="287"/>
      <c r="AQ69" s="287"/>
      <c r="AR69" s="287"/>
      <c r="AS69" s="287"/>
      <c r="AT69" s="287"/>
      <c r="AU69" s="287"/>
      <c r="AV69" s="287"/>
      <c r="AW69" s="287"/>
      <c r="AX69" s="287"/>
      <c r="AY69" s="287"/>
      <c r="AZ69" s="287"/>
      <c r="BA69" s="287"/>
      <c r="BB69" s="287"/>
      <c r="BC69" s="287"/>
    </row>
    <row r="70" spans="1:55">
      <c r="A70" s="287"/>
      <c r="B70" s="287"/>
      <c r="C70" s="287"/>
      <c r="D70" s="287"/>
      <c r="E70" s="287"/>
      <c r="F70" s="287"/>
      <c r="G70" s="287"/>
      <c r="H70" s="287"/>
      <c r="I70" s="287"/>
      <c r="J70" s="287"/>
      <c r="K70" s="287"/>
      <c r="L70" s="287"/>
      <c r="M70" s="287"/>
      <c r="N70" s="287"/>
      <c r="O70" s="287"/>
      <c r="P70" s="287"/>
      <c r="Q70" s="287"/>
      <c r="R70" s="287"/>
      <c r="S70" s="287"/>
      <c r="T70" s="287"/>
      <c r="U70" s="287"/>
      <c r="V70" s="287"/>
      <c r="W70" s="287"/>
      <c r="X70" s="287"/>
      <c r="Y70" s="287"/>
      <c r="Z70" s="287"/>
      <c r="AA70" s="287"/>
      <c r="AB70" s="287"/>
      <c r="AC70" s="287"/>
      <c r="AD70" s="287"/>
      <c r="AE70" s="287"/>
      <c r="AF70" s="287"/>
      <c r="AG70" s="287"/>
      <c r="AH70" s="287"/>
      <c r="AI70" s="287"/>
      <c r="AJ70" s="287"/>
      <c r="AK70" s="287"/>
      <c r="AL70" s="287"/>
      <c r="AM70" s="287"/>
      <c r="AN70" s="287"/>
      <c r="AO70" s="287"/>
      <c r="AP70" s="287"/>
      <c r="AQ70" s="287"/>
      <c r="AR70" s="287"/>
      <c r="AS70" s="287"/>
      <c r="AT70" s="287"/>
      <c r="AU70" s="287"/>
      <c r="AV70" s="287"/>
      <c r="AW70" s="287"/>
      <c r="AX70" s="287"/>
      <c r="AY70" s="287"/>
      <c r="AZ70" s="287"/>
      <c r="BA70" s="287"/>
      <c r="BB70" s="287"/>
      <c r="BC70" s="287"/>
    </row>
  </sheetData>
  <mergeCells count="95">
    <mergeCell ref="C38:K38"/>
    <mergeCell ref="C39:E39"/>
    <mergeCell ref="F39:H39"/>
    <mergeCell ref="I39:K39"/>
    <mergeCell ref="T39:V39"/>
    <mergeCell ref="N38:V38"/>
    <mergeCell ref="N39:P39"/>
    <mergeCell ref="Q39:S39"/>
    <mergeCell ref="A41:B41"/>
    <mergeCell ref="A42:B42"/>
    <mergeCell ref="L41:M41"/>
    <mergeCell ref="L42:M42"/>
    <mergeCell ref="N46:V46"/>
    <mergeCell ref="C44:K44"/>
    <mergeCell ref="C45:E45"/>
    <mergeCell ref="F45:H45"/>
    <mergeCell ref="I45:K45"/>
    <mergeCell ref="W57:X57"/>
    <mergeCell ref="W58:X58"/>
    <mergeCell ref="A47:B47"/>
    <mergeCell ref="A48:B48"/>
    <mergeCell ref="A53:B53"/>
    <mergeCell ref="A54:B54"/>
    <mergeCell ref="L58:M58"/>
    <mergeCell ref="N47:P47"/>
    <mergeCell ref="Q47:S47"/>
    <mergeCell ref="T47:V47"/>
    <mergeCell ref="C50:E50"/>
    <mergeCell ref="L49:M49"/>
    <mergeCell ref="L50:M50"/>
    <mergeCell ref="L57:M57"/>
    <mergeCell ref="F51:H51"/>
    <mergeCell ref="I51:K51"/>
    <mergeCell ref="C51:E51"/>
    <mergeCell ref="N54:P54"/>
    <mergeCell ref="N55:P55"/>
    <mergeCell ref="AU38:BC38"/>
    <mergeCell ref="AP39:AR39"/>
    <mergeCell ref="AJ39:AL39"/>
    <mergeCell ref="AM39:AO39"/>
    <mergeCell ref="AH38:AI38"/>
    <mergeCell ref="AH39:AI39"/>
    <mergeCell ref="AU39:AW39"/>
    <mergeCell ref="AX39:AZ39"/>
    <mergeCell ref="BA39:BC39"/>
    <mergeCell ref="AJ38:AR38"/>
    <mergeCell ref="AS38:AT38"/>
    <mergeCell ref="AS39:AT39"/>
    <mergeCell ref="AU55:AW55"/>
    <mergeCell ref="AU46:BC46"/>
    <mergeCell ref="AU47:AW47"/>
    <mergeCell ref="AX47:AZ47"/>
    <mergeCell ref="BA47:BC47"/>
    <mergeCell ref="AU54:AW54"/>
    <mergeCell ref="B6:D6"/>
    <mergeCell ref="E6:G6"/>
    <mergeCell ref="H6:J6"/>
    <mergeCell ref="A26:K26"/>
    <mergeCell ref="W20:X22"/>
    <mergeCell ref="W38:X38"/>
    <mergeCell ref="W39:X39"/>
    <mergeCell ref="W41:X41"/>
    <mergeCell ref="W42:X42"/>
    <mergeCell ref="W49:X49"/>
    <mergeCell ref="W50:X50"/>
    <mergeCell ref="Y46:AG46"/>
    <mergeCell ref="Y47:AA47"/>
    <mergeCell ref="AB47:AD47"/>
    <mergeCell ref="AS58:AT58"/>
    <mergeCell ref="AS57:AT57"/>
    <mergeCell ref="AH58:AI58"/>
    <mergeCell ref="AH57:AI57"/>
    <mergeCell ref="AH49:AI49"/>
    <mergeCell ref="AH50:AI50"/>
    <mergeCell ref="AS49:AT49"/>
    <mergeCell ref="AS50:AT50"/>
    <mergeCell ref="AJ46:AR46"/>
    <mergeCell ref="AJ47:AL47"/>
    <mergeCell ref="AM47:AO47"/>
    <mergeCell ref="AP47:AR47"/>
    <mergeCell ref="AS20:AT22"/>
    <mergeCell ref="AJ54:AL54"/>
    <mergeCell ref="AJ55:AL55"/>
    <mergeCell ref="Y54:AA54"/>
    <mergeCell ref="Y55:AA55"/>
    <mergeCell ref="AH20:AI22"/>
    <mergeCell ref="AE47:AG47"/>
    <mergeCell ref="Y38:AG38"/>
    <mergeCell ref="Y39:AA39"/>
    <mergeCell ref="AB39:AD39"/>
    <mergeCell ref="AE39:AG39"/>
    <mergeCell ref="AH41:AI41"/>
    <mergeCell ref="AH42:AI42"/>
    <mergeCell ref="AS41:AT41"/>
    <mergeCell ref="AS42:AT42"/>
  </mergeCells>
  <pageMargins left="0.25" right="0.25" top="0.75" bottom="0.75" header="0.3" footer="0.3"/>
  <pageSetup orientation="landscape" horizontalDpi="1200" verticalDpi="1200" r:id="rId1"/>
  <headerFooter>
    <oddFooter xml:space="preserve">&amp;L&amp;"Arial,Regular"&amp;12
&amp;P of &amp;N&amp;R&amp;"Arial,Bold"&amp;14teen-SPARC
</oddFooter>
  </headerFooter>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autoPageBreaks="0"/>
  </sheetPr>
  <dimension ref="B2:BL42"/>
  <sheetViews>
    <sheetView zoomScale="80" zoomScaleNormal="80" workbookViewId="0"/>
  </sheetViews>
  <sheetFormatPr defaultColWidth="9.109375" defaultRowHeight="13.8"/>
  <cols>
    <col min="1" max="43" width="9.109375" style="46"/>
    <col min="44" max="46" width="9.33203125" style="46" bestFit="1" customWidth="1"/>
    <col min="47" max="49" width="9.5546875" style="46" bestFit="1" customWidth="1"/>
    <col min="50" max="50" width="9.33203125" style="46" bestFit="1" customWidth="1"/>
    <col min="51" max="53" width="9.109375" style="46"/>
    <col min="54" max="56" width="9.33203125" style="46" bestFit="1" customWidth="1"/>
    <col min="57" max="59" width="9.5546875" style="46" bestFit="1" customWidth="1"/>
    <col min="60" max="60" width="9.33203125" style="46" bestFit="1" customWidth="1"/>
    <col min="61" max="16384" width="9.109375" style="46"/>
  </cols>
  <sheetData>
    <row r="2" spans="2:64" ht="24.6">
      <c r="B2" s="54" t="s">
        <v>101</v>
      </c>
    </row>
    <row r="3" spans="2:64" ht="16.8">
      <c r="B3" s="53" t="s">
        <v>150</v>
      </c>
    </row>
    <row r="4" spans="2:64" ht="16.8">
      <c r="B4" s="53" t="s">
        <v>151</v>
      </c>
    </row>
    <row r="6" spans="2:64">
      <c r="B6" s="56" t="s">
        <v>266</v>
      </c>
      <c r="C6" s="56"/>
      <c r="D6" s="56"/>
      <c r="E6" s="56"/>
      <c r="F6" s="56"/>
      <c r="G6" s="56"/>
      <c r="H6" s="56"/>
      <c r="I6" s="56"/>
      <c r="J6" s="56"/>
      <c r="L6" s="56" t="s">
        <v>267</v>
      </c>
      <c r="M6" s="56"/>
      <c r="N6" s="56"/>
      <c r="O6" s="56"/>
      <c r="P6" s="56"/>
      <c r="Q6" s="56"/>
      <c r="R6" s="56"/>
      <c r="S6" s="56"/>
      <c r="T6" s="56"/>
      <c r="V6" s="56" t="s">
        <v>270</v>
      </c>
      <c r="W6" s="56"/>
      <c r="X6" s="56"/>
      <c r="Y6" s="56"/>
      <c r="Z6" s="56"/>
      <c r="AA6" s="56"/>
      <c r="AB6" s="56"/>
      <c r="AC6" s="56"/>
      <c r="AD6" s="56"/>
      <c r="AF6" s="56" t="s">
        <v>102</v>
      </c>
      <c r="AG6" s="56"/>
      <c r="AH6" s="56"/>
      <c r="AI6" s="56"/>
      <c r="AJ6" s="56"/>
      <c r="AK6" s="56"/>
      <c r="AL6" s="56"/>
      <c r="AM6" s="56"/>
      <c r="AN6" s="56"/>
      <c r="AP6" s="56" t="s">
        <v>103</v>
      </c>
      <c r="AQ6" s="56"/>
      <c r="AR6" s="56"/>
      <c r="AS6" s="56"/>
      <c r="AT6" s="56"/>
      <c r="AU6" s="56"/>
      <c r="AV6" s="56"/>
      <c r="AW6" s="56"/>
      <c r="AX6" s="56"/>
      <c r="AZ6" s="56" t="s">
        <v>271</v>
      </c>
      <c r="BA6" s="56"/>
      <c r="BB6" s="56"/>
      <c r="BC6" s="56"/>
      <c r="BD6" s="56"/>
      <c r="BE6" s="56"/>
      <c r="BF6" s="56"/>
      <c r="BG6" s="56"/>
      <c r="BH6" s="56"/>
      <c r="BJ6" s="51" t="s">
        <v>105</v>
      </c>
      <c r="BL6" s="56"/>
    </row>
    <row r="8" spans="2:64">
      <c r="B8" s="138" t="s">
        <v>65</v>
      </c>
      <c r="C8" s="139"/>
      <c r="D8" s="140">
        <v>11</v>
      </c>
      <c r="E8" s="140">
        <v>12</v>
      </c>
      <c r="F8" s="140">
        <v>13</v>
      </c>
      <c r="G8" s="140">
        <v>14</v>
      </c>
      <c r="H8" s="140">
        <v>15</v>
      </c>
      <c r="I8" s="140">
        <v>16</v>
      </c>
      <c r="J8" s="140">
        <v>17</v>
      </c>
      <c r="L8" s="138" t="s">
        <v>65</v>
      </c>
      <c r="M8" s="139"/>
      <c r="N8" s="140">
        <v>11</v>
      </c>
      <c r="O8" s="140">
        <v>12</v>
      </c>
      <c r="P8" s="140">
        <v>13</v>
      </c>
      <c r="Q8" s="140">
        <v>14</v>
      </c>
      <c r="R8" s="140">
        <v>15</v>
      </c>
      <c r="S8" s="140">
        <v>16</v>
      </c>
      <c r="T8" s="140">
        <v>17</v>
      </c>
      <c r="V8" s="138" t="s">
        <v>65</v>
      </c>
      <c r="W8" s="139"/>
      <c r="X8" s="140">
        <v>11</v>
      </c>
      <c r="Y8" s="140">
        <v>12</v>
      </c>
      <c r="Z8" s="140">
        <v>13</v>
      </c>
      <c r="AA8" s="140">
        <v>14</v>
      </c>
      <c r="AB8" s="140">
        <v>15</v>
      </c>
      <c r="AC8" s="140">
        <v>16</v>
      </c>
      <c r="AD8" s="140">
        <v>17</v>
      </c>
      <c r="AF8" s="138" t="s">
        <v>65</v>
      </c>
      <c r="AG8" s="139"/>
      <c r="AH8" s="140">
        <v>11</v>
      </c>
      <c r="AI8" s="140">
        <v>12</v>
      </c>
      <c r="AJ8" s="140">
        <v>13</v>
      </c>
      <c r="AK8" s="140">
        <v>14</v>
      </c>
      <c r="AL8" s="140">
        <v>15</v>
      </c>
      <c r="AM8" s="140">
        <v>16</v>
      </c>
      <c r="AN8" s="140">
        <v>17</v>
      </c>
      <c r="AP8" s="138" t="s">
        <v>65</v>
      </c>
      <c r="AQ8" s="139"/>
      <c r="AR8" s="140">
        <v>11</v>
      </c>
      <c r="AS8" s="140">
        <v>12</v>
      </c>
      <c r="AT8" s="140">
        <v>13</v>
      </c>
      <c r="AU8" s="140">
        <v>14</v>
      </c>
      <c r="AV8" s="140">
        <v>15</v>
      </c>
      <c r="AW8" s="140">
        <v>16</v>
      </c>
      <c r="AX8" s="140">
        <v>17</v>
      </c>
      <c r="AZ8" s="138" t="s">
        <v>65</v>
      </c>
      <c r="BA8" s="139"/>
      <c r="BB8" s="140">
        <v>11</v>
      </c>
      <c r="BC8" s="140">
        <v>12</v>
      </c>
      <c r="BD8" s="140">
        <v>13</v>
      </c>
      <c r="BE8" s="140">
        <v>14</v>
      </c>
      <c r="BF8" s="140">
        <v>15</v>
      </c>
      <c r="BG8" s="140">
        <v>16</v>
      </c>
      <c r="BH8" s="140">
        <v>17</v>
      </c>
      <c r="BJ8" s="140" t="s">
        <v>4</v>
      </c>
      <c r="BK8" s="140" t="s">
        <v>5</v>
      </c>
      <c r="BL8" s="140">
        <v>18</v>
      </c>
    </row>
    <row r="9" spans="2:64">
      <c r="B9" s="138"/>
      <c r="C9" s="139">
        <v>13</v>
      </c>
      <c r="D9" s="292">
        <f>'Advanced options'!E84</f>
        <v>0</v>
      </c>
      <c r="E9" s="292">
        <f>'Advanced options'!F84</f>
        <v>0</v>
      </c>
      <c r="F9" s="293"/>
      <c r="G9" s="293"/>
      <c r="H9" s="293"/>
      <c r="I9" s="293"/>
      <c r="J9" s="293"/>
      <c r="L9" s="138"/>
      <c r="M9" s="139">
        <v>13</v>
      </c>
      <c r="N9" s="292">
        <f>'Advanced options'!O84</f>
        <v>0</v>
      </c>
      <c r="O9" s="292">
        <f>'Advanced options'!P84</f>
        <v>0</v>
      </c>
      <c r="P9" s="293"/>
      <c r="Q9" s="293"/>
      <c r="R9" s="293"/>
      <c r="S9" s="293"/>
      <c r="T9" s="293"/>
      <c r="V9" s="138"/>
      <c r="W9" s="139">
        <v>13</v>
      </c>
      <c r="X9" s="292">
        <f>N9/D37</f>
        <v>0</v>
      </c>
      <c r="Y9" s="292">
        <f>O9/E37</f>
        <v>0</v>
      </c>
      <c r="Z9" s="293"/>
      <c r="AA9" s="293"/>
      <c r="AB9" s="293"/>
      <c r="AC9" s="293"/>
      <c r="AD9" s="293"/>
      <c r="AF9" s="138"/>
      <c r="AG9" s="139">
        <v>13</v>
      </c>
      <c r="AH9" s="292">
        <f>X9*D9</f>
        <v>0</v>
      </c>
      <c r="AI9" s="292">
        <f>Y9*E9</f>
        <v>0</v>
      </c>
      <c r="AJ9" s="293"/>
      <c r="AK9" s="293"/>
      <c r="AL9" s="293"/>
      <c r="AM9" s="293"/>
      <c r="AN9" s="293"/>
      <c r="AP9" s="138"/>
      <c r="AQ9" s="139">
        <v>13</v>
      </c>
      <c r="AR9" s="292">
        <f>SUM($AH9:AH9)</f>
        <v>0</v>
      </c>
      <c r="AS9" s="292">
        <f>SUM($AH9:AI9)</f>
        <v>0</v>
      </c>
      <c r="AT9" s="293"/>
      <c r="AU9" s="293"/>
      <c r="AV9" s="293"/>
      <c r="AW9" s="293"/>
      <c r="AX9" s="293"/>
      <c r="AZ9" s="138"/>
      <c r="BA9" s="139">
        <v>13</v>
      </c>
      <c r="BB9" s="292">
        <f>SUM($D9:D9)</f>
        <v>0</v>
      </c>
      <c r="BC9" s="292">
        <f>SUM($D9:E9)</f>
        <v>0</v>
      </c>
      <c r="BD9" s="293"/>
      <c r="BE9" s="293"/>
      <c r="BF9" s="293"/>
      <c r="BG9" s="293"/>
      <c r="BH9" s="293"/>
      <c r="BJ9" s="294">
        <f>SUM(AT15:AV15)/SUM(BD15:BF15)</f>
        <v>1.0379791514103585</v>
      </c>
      <c r="BK9" s="294">
        <f>SUM(AW15:AX15)/SUM(BG15:BH15)</f>
        <v>1.2608356940904364</v>
      </c>
      <c r="BL9" s="294">
        <f>BK9</f>
        <v>1.2608356940904364</v>
      </c>
    </row>
    <row r="10" spans="2:64">
      <c r="B10" s="138"/>
      <c r="C10" s="139">
        <v>14</v>
      </c>
      <c r="D10" s="292">
        <f>'Advanced options'!E85</f>
        <v>2.6228999999999996</v>
      </c>
      <c r="E10" s="292">
        <f>'Advanced options'!F85</f>
        <v>0</v>
      </c>
      <c r="F10" s="292">
        <f>'Advanced options'!G85</f>
        <v>1.0751999999999999</v>
      </c>
      <c r="G10" s="295"/>
      <c r="H10" s="296"/>
      <c r="I10" s="296"/>
      <c r="J10" s="296"/>
      <c r="L10" s="138"/>
      <c r="M10" s="139">
        <v>14</v>
      </c>
      <c r="N10" s="292">
        <f>'Advanced options'!O85</f>
        <v>5.0962674901826226</v>
      </c>
      <c r="O10" s="292">
        <f>'Advanced options'!P85</f>
        <v>0</v>
      </c>
      <c r="P10" s="292">
        <f>'Advanced options'!Q85</f>
        <v>3.666015625</v>
      </c>
      <c r="Q10" s="295"/>
      <c r="R10" s="296"/>
      <c r="S10" s="296"/>
      <c r="T10" s="296"/>
      <c r="V10" s="138"/>
      <c r="W10" s="139">
        <v>14</v>
      </c>
      <c r="X10" s="292">
        <f t="shared" ref="X10:Z10" si="0">N10/D38</f>
        <v>1.6987558300608743</v>
      </c>
      <c r="Y10" s="292">
        <f t="shared" si="0"/>
        <v>0</v>
      </c>
      <c r="Z10" s="292">
        <f t="shared" si="0"/>
        <v>3.666015625</v>
      </c>
      <c r="AA10" s="295"/>
      <c r="AB10" s="296"/>
      <c r="AC10" s="296"/>
      <c r="AD10" s="296"/>
      <c r="AF10" s="138"/>
      <c r="AG10" s="139">
        <v>14</v>
      </c>
      <c r="AH10" s="292">
        <f t="shared" ref="AH10:AH14" si="1">X10*D10</f>
        <v>4.4556666666666667</v>
      </c>
      <c r="AI10" s="292">
        <f t="shared" ref="AI10:AJ10" si="2">Y10*E10</f>
        <v>0</v>
      </c>
      <c r="AJ10" s="292">
        <f t="shared" si="2"/>
        <v>3.9416999999999995</v>
      </c>
      <c r="AK10" s="295"/>
      <c r="AL10" s="296"/>
      <c r="AM10" s="296"/>
      <c r="AN10" s="296"/>
      <c r="AP10" s="138"/>
      <c r="AQ10" s="139">
        <v>14</v>
      </c>
      <c r="AR10" s="143">
        <f>SUM($AH10:AH10)</f>
        <v>4.4556666666666667</v>
      </c>
      <c r="AS10" s="143">
        <f>SUM($AH10:AI10)</f>
        <v>4.4556666666666667</v>
      </c>
      <c r="AT10" s="143">
        <f>SUM($AH10:AJ10)</f>
        <v>8.3973666666666666</v>
      </c>
      <c r="AU10" s="145"/>
      <c r="AV10" s="146"/>
      <c r="AW10" s="146"/>
      <c r="AX10" s="146"/>
      <c r="AZ10" s="138"/>
      <c r="BA10" s="139">
        <v>14</v>
      </c>
      <c r="BB10" s="292">
        <f>SUM($D10:D10)</f>
        <v>2.6228999999999996</v>
      </c>
      <c r="BC10" s="292">
        <f>SUM($D10:E10)</f>
        <v>2.6228999999999996</v>
      </c>
      <c r="BD10" s="292">
        <f>SUM($D10:F10)</f>
        <v>3.6980999999999993</v>
      </c>
      <c r="BE10" s="295"/>
      <c r="BF10" s="296"/>
      <c r="BG10" s="296"/>
      <c r="BH10" s="296"/>
    </row>
    <row r="11" spans="2:64">
      <c r="B11" s="138"/>
      <c r="C11" s="139">
        <v>15</v>
      </c>
      <c r="D11" s="292">
        <f>'Advanced options'!E86</f>
        <v>11.641300000000001</v>
      </c>
      <c r="E11" s="292">
        <f>'Advanced options'!F86</f>
        <v>0.69199999999999995</v>
      </c>
      <c r="F11" s="292">
        <f>'Advanced options'!G86</f>
        <v>6.4969000000000001</v>
      </c>
      <c r="G11" s="292">
        <f>'Advanced options'!H86</f>
        <v>4.4169</v>
      </c>
      <c r="H11" s="295"/>
      <c r="I11" s="296"/>
      <c r="J11" s="296"/>
      <c r="L11" s="138"/>
      <c r="M11" s="139">
        <v>15</v>
      </c>
      <c r="N11" s="292">
        <f>'Advanced options'!O86</f>
        <v>3.9377560925326209</v>
      </c>
      <c r="O11" s="292">
        <f>'Advanced options'!P86</f>
        <v>2</v>
      </c>
      <c r="P11" s="292">
        <f>'Advanced options'!Q86</f>
        <v>2.86174944973757</v>
      </c>
      <c r="Q11" s="292">
        <f>'Advanced options'!R86</f>
        <v>1.6159750050940704</v>
      </c>
      <c r="R11" s="295"/>
      <c r="S11" s="296"/>
      <c r="T11" s="296"/>
      <c r="V11" s="138"/>
      <c r="W11" s="139">
        <v>15</v>
      </c>
      <c r="X11" s="292">
        <f t="shared" ref="X11" si="3">N11/D39</f>
        <v>0.98443902313315523</v>
      </c>
      <c r="Y11" s="292">
        <f t="shared" ref="Y11:Y14" si="4">O11/E39</f>
        <v>0.66666666666666663</v>
      </c>
      <c r="Z11" s="292">
        <f t="shared" ref="Z11:AA11" si="5">P11/F39</f>
        <v>1.430874724868785</v>
      </c>
      <c r="AA11" s="292">
        <f t="shared" si="5"/>
        <v>1.6159750050940704</v>
      </c>
      <c r="AB11" s="295"/>
      <c r="AC11" s="296"/>
      <c r="AD11" s="296"/>
      <c r="AF11" s="138"/>
      <c r="AG11" s="139">
        <v>15</v>
      </c>
      <c r="AH11" s="292">
        <f t="shared" si="1"/>
        <v>11.460150000000001</v>
      </c>
      <c r="AI11" s="292">
        <f t="shared" ref="AI11:AI14" si="6">Y11*E11</f>
        <v>0.46133333333333326</v>
      </c>
      <c r="AJ11" s="292">
        <f t="shared" ref="AJ11:AK11" si="7">Z11*F11</f>
        <v>9.2962500000000095</v>
      </c>
      <c r="AK11" s="292">
        <f t="shared" si="7"/>
        <v>7.1375999999999999</v>
      </c>
      <c r="AL11" s="295"/>
      <c r="AM11" s="296"/>
      <c r="AN11" s="296"/>
      <c r="AP11" s="138"/>
      <c r="AQ11" s="139">
        <v>15</v>
      </c>
      <c r="AR11" s="143">
        <f>SUM($AH11:AH11)</f>
        <v>11.460150000000001</v>
      </c>
      <c r="AS11" s="143">
        <f>SUM($AH11:AI11)</f>
        <v>11.921483333333335</v>
      </c>
      <c r="AT11" s="143">
        <f>SUM($AH11:AJ11)</f>
        <v>21.217733333333342</v>
      </c>
      <c r="AU11" s="143">
        <f>SUM($AH11:AK11)</f>
        <v>28.355333333333341</v>
      </c>
      <c r="AV11" s="145"/>
      <c r="AW11" s="146"/>
      <c r="AX11" s="146"/>
      <c r="AZ11" s="138"/>
      <c r="BA11" s="139">
        <v>15</v>
      </c>
      <c r="BB11" s="292">
        <f>SUM($D11:D11)</f>
        <v>11.641300000000001</v>
      </c>
      <c r="BC11" s="292">
        <f>SUM($D11:E11)</f>
        <v>12.333300000000001</v>
      </c>
      <c r="BD11" s="292">
        <f>SUM($D11:F11)</f>
        <v>18.830200000000001</v>
      </c>
      <c r="BE11" s="292">
        <f>SUM($D11:G11)</f>
        <v>23.247100000000003</v>
      </c>
      <c r="BF11" s="295"/>
      <c r="BG11" s="296"/>
      <c r="BH11" s="296"/>
    </row>
    <row r="12" spans="2:64">
      <c r="B12" s="138"/>
      <c r="C12" s="139">
        <v>16</v>
      </c>
      <c r="D12" s="292">
        <f>'Advanced options'!E87</f>
        <v>8.3307000000000002</v>
      </c>
      <c r="E12" s="292">
        <f>'Advanced options'!F87</f>
        <v>1.1457999999999999</v>
      </c>
      <c r="F12" s="292">
        <f>'Advanced options'!G87</f>
        <v>4.4174000000000007</v>
      </c>
      <c r="G12" s="292">
        <f>'Advanced options'!H87</f>
        <v>2.2570999999999999</v>
      </c>
      <c r="H12" s="292">
        <f>'Advanced options'!I87</f>
        <v>8.4350999999999985</v>
      </c>
      <c r="I12" s="295"/>
      <c r="J12" s="296"/>
      <c r="L12" s="138"/>
      <c r="M12" s="139">
        <v>16</v>
      </c>
      <c r="N12" s="292">
        <f>'Advanced options'!O87</f>
        <v>3.9386836652545201</v>
      </c>
      <c r="O12" s="292">
        <f>'Advanced options'!P87</f>
        <v>3.0295863152382614</v>
      </c>
      <c r="P12" s="292">
        <f>'Advanced options'!Q87</f>
        <v>5.5231131434780636</v>
      </c>
      <c r="Q12" s="292">
        <f>'Advanced options'!R87</f>
        <v>2.9442204598821502</v>
      </c>
      <c r="R12" s="292">
        <f>'Advanced options'!S87</f>
        <v>2.1767203987829347</v>
      </c>
      <c r="S12" s="295"/>
      <c r="T12" s="296"/>
      <c r="V12" s="138"/>
      <c r="W12" s="139">
        <v>16</v>
      </c>
      <c r="X12" s="292">
        <f t="shared" ref="X12" si="8">N12/D40</f>
        <v>0.78773673305090397</v>
      </c>
      <c r="Y12" s="292">
        <f t="shared" si="4"/>
        <v>0.75739657880956535</v>
      </c>
      <c r="Z12" s="292">
        <f t="shared" ref="Z12:Z14" si="9">P12/F40</f>
        <v>1.8410377144926879</v>
      </c>
      <c r="AA12" s="292">
        <f t="shared" ref="AA12:AB12" si="10">Q12/G40</f>
        <v>1.4721102299410751</v>
      </c>
      <c r="AB12" s="292">
        <f t="shared" si="10"/>
        <v>2.1767203987829347</v>
      </c>
      <c r="AC12" s="295"/>
      <c r="AD12" s="296"/>
      <c r="AF12" s="138"/>
      <c r="AG12" s="139">
        <v>16</v>
      </c>
      <c r="AH12" s="292">
        <f t="shared" si="1"/>
        <v>6.5623984020271662</v>
      </c>
      <c r="AI12" s="292">
        <f t="shared" si="6"/>
        <v>0.86782499999999996</v>
      </c>
      <c r="AJ12" s="292">
        <f t="shared" ref="AJ12:AJ14" si="11">Z12*F12</f>
        <v>8.1326000000000001</v>
      </c>
      <c r="AK12" s="292">
        <f t="shared" ref="AK12:AL12" si="12">AA12*G12</f>
        <v>3.3227000000000007</v>
      </c>
      <c r="AL12" s="292">
        <f t="shared" si="12"/>
        <v>18.360854235773928</v>
      </c>
      <c r="AM12" s="295"/>
      <c r="AN12" s="296"/>
      <c r="AP12" s="138"/>
      <c r="AQ12" s="139">
        <v>16</v>
      </c>
      <c r="AR12" s="143">
        <f>SUM($AH12:AH12)</f>
        <v>6.5623984020271662</v>
      </c>
      <c r="AS12" s="143">
        <f>SUM($AH12:AI12)</f>
        <v>7.430223402027166</v>
      </c>
      <c r="AT12" s="143">
        <f>SUM($AH12:AJ12)</f>
        <v>15.562823402027167</v>
      </c>
      <c r="AU12" s="143">
        <f>SUM($AH12:AK12)</f>
        <v>18.885523402027168</v>
      </c>
      <c r="AV12" s="143">
        <f>SUM($AH12:AL12)</f>
        <v>37.246377637801096</v>
      </c>
      <c r="AW12" s="145"/>
      <c r="AX12" s="146"/>
      <c r="AZ12" s="138"/>
      <c r="BA12" s="139">
        <v>16</v>
      </c>
      <c r="BB12" s="292">
        <f>SUM($D12:D12)</f>
        <v>8.3307000000000002</v>
      </c>
      <c r="BC12" s="292">
        <f>SUM($D12:E12)</f>
        <v>9.4764999999999997</v>
      </c>
      <c r="BD12" s="292">
        <f>SUM($D12:F12)</f>
        <v>13.8939</v>
      </c>
      <c r="BE12" s="292">
        <f>SUM($D12:G12)</f>
        <v>16.151</v>
      </c>
      <c r="BF12" s="292">
        <f>SUM($D12:H12)</f>
        <v>24.586099999999998</v>
      </c>
      <c r="BG12" s="295"/>
      <c r="BH12" s="296"/>
    </row>
    <row r="13" spans="2:64">
      <c r="B13" s="138"/>
      <c r="C13" s="139">
        <v>17</v>
      </c>
      <c r="D13" s="292">
        <f>'Advanced options'!E88</f>
        <v>10.044600000000001</v>
      </c>
      <c r="E13" s="292">
        <f>'Advanced options'!F88</f>
        <v>2.1554000000000002</v>
      </c>
      <c r="F13" s="292">
        <f>'Advanced options'!G88</f>
        <v>2.3028</v>
      </c>
      <c r="G13" s="292">
        <f>'Advanced options'!H88</f>
        <v>9.3163</v>
      </c>
      <c r="H13" s="292">
        <f>'Advanced options'!I88</f>
        <v>9.178799999999999</v>
      </c>
      <c r="I13" s="292">
        <f>'Advanced options'!J88</f>
        <v>14.9247</v>
      </c>
      <c r="J13" s="295"/>
      <c r="L13" s="138"/>
      <c r="M13" s="139">
        <v>17</v>
      </c>
      <c r="N13" s="292">
        <f>'Advanced options'!O88</f>
        <v>3.5407999999999999</v>
      </c>
      <c r="O13" s="292">
        <f>'Advanced options'!P88</f>
        <v>4</v>
      </c>
      <c r="P13" s="292">
        <f>'Advanced options'!Q88</f>
        <v>4.3516154247003653</v>
      </c>
      <c r="Q13" s="292">
        <f>'Advanced options'!R88</f>
        <v>2.3879115099342014</v>
      </c>
      <c r="R13" s="292">
        <f>'Advanced options'!S88</f>
        <v>3.0357998866954286</v>
      </c>
      <c r="S13" s="292">
        <f>'Advanced options'!T88</f>
        <v>2.5771707303999412</v>
      </c>
      <c r="T13" s="295"/>
      <c r="V13" s="138"/>
      <c r="W13" s="139">
        <v>17</v>
      </c>
      <c r="X13" s="292">
        <f t="shared" ref="X13" si="13">N13/D41</f>
        <v>0.59013333333333329</v>
      </c>
      <c r="Y13" s="292">
        <f t="shared" si="4"/>
        <v>0.8</v>
      </c>
      <c r="Z13" s="292">
        <f t="shared" si="9"/>
        <v>1.0879038561750913</v>
      </c>
      <c r="AA13" s="292">
        <f t="shared" ref="AA13:AA14" si="14">Q13/G41</f>
        <v>0.79597050331140051</v>
      </c>
      <c r="AB13" s="292">
        <f t="shared" ref="AB13:AC13" si="15">R13/H41</f>
        <v>1.5178999433477143</v>
      </c>
      <c r="AC13" s="292">
        <f t="shared" si="15"/>
        <v>2.5771707303999412</v>
      </c>
      <c r="AD13" s="295"/>
      <c r="AF13" s="138"/>
      <c r="AG13" s="139">
        <v>17</v>
      </c>
      <c r="AH13" s="292">
        <f t="shared" si="1"/>
        <v>5.9276532800000004</v>
      </c>
      <c r="AI13" s="292">
        <f t="shared" si="6"/>
        <v>1.7243200000000003</v>
      </c>
      <c r="AJ13" s="292">
        <f t="shared" si="11"/>
        <v>2.5052250000000003</v>
      </c>
      <c r="AK13" s="292">
        <f t="shared" ref="AK13:AK14" si="16">AA13*G13</f>
        <v>7.4155000000000006</v>
      </c>
      <c r="AL13" s="292">
        <f t="shared" ref="AL13:AM13" si="17">AB13*H13</f>
        <v>13.932499999999997</v>
      </c>
      <c r="AM13" s="292">
        <f t="shared" si="17"/>
        <v>38.463500000000003</v>
      </c>
      <c r="AN13" s="295"/>
      <c r="AP13" s="138"/>
      <c r="AQ13" s="139">
        <v>17</v>
      </c>
      <c r="AR13" s="143">
        <f>SUM($AH13:AH13)</f>
        <v>5.9276532800000004</v>
      </c>
      <c r="AS13" s="143">
        <f>SUM($AH13:AI13)</f>
        <v>7.6519732800000009</v>
      </c>
      <c r="AT13" s="143">
        <f>SUM($AH13:AJ13)</f>
        <v>10.157198280000001</v>
      </c>
      <c r="AU13" s="143">
        <f>SUM($AH13:AK13)</f>
        <v>17.572698280000001</v>
      </c>
      <c r="AV13" s="143">
        <f>SUM($AH13:AL13)</f>
        <v>31.505198279999998</v>
      </c>
      <c r="AW13" s="143">
        <f>SUM($AH13:AM13)</f>
        <v>69.968698279999998</v>
      </c>
      <c r="AX13" s="145"/>
      <c r="AZ13" s="138"/>
      <c r="BA13" s="139">
        <v>17</v>
      </c>
      <c r="BB13" s="292">
        <f>SUM($D13:D13)</f>
        <v>10.044600000000001</v>
      </c>
      <c r="BC13" s="292">
        <f>SUM($D13:E13)</f>
        <v>12.200000000000001</v>
      </c>
      <c r="BD13" s="292">
        <f>SUM($D13:F13)</f>
        <v>14.502800000000001</v>
      </c>
      <c r="BE13" s="292">
        <f>SUM($D13:G13)</f>
        <v>23.819099999999999</v>
      </c>
      <c r="BF13" s="292">
        <f>SUM($D13:H13)</f>
        <v>32.997900000000001</v>
      </c>
      <c r="BG13" s="292">
        <f>SUM($D13:I13)</f>
        <v>47.922600000000003</v>
      </c>
      <c r="BH13" s="295"/>
    </row>
    <row r="14" spans="2:64">
      <c r="B14" s="138"/>
      <c r="C14" s="151">
        <v>18</v>
      </c>
      <c r="D14" s="292">
        <f>'Advanced options'!E89</f>
        <v>9.0114000000000001</v>
      </c>
      <c r="E14" s="292">
        <f>'Advanced options'!F89</f>
        <v>0.28849999999999998</v>
      </c>
      <c r="F14" s="292">
        <f>'Advanced options'!G89</f>
        <v>3.6780999999999997</v>
      </c>
      <c r="G14" s="292">
        <f>'Advanced options'!H89</f>
        <v>4.3917000000000002</v>
      </c>
      <c r="H14" s="292">
        <f>'Advanced options'!I89</f>
        <v>4.2336999999999998</v>
      </c>
      <c r="I14" s="292">
        <f>'Advanced options'!J89</f>
        <v>6.2689000000000004</v>
      </c>
      <c r="J14" s="292">
        <f>'Advanced options'!K89</f>
        <v>6.2477</v>
      </c>
      <c r="L14" s="138"/>
      <c r="M14" s="151">
        <v>18</v>
      </c>
      <c r="N14" s="292">
        <f>'Advanced options'!O89</f>
        <v>5.2387420378631511</v>
      </c>
      <c r="O14" s="292">
        <f>'Advanced options'!P89</f>
        <v>4</v>
      </c>
      <c r="P14" s="292">
        <f>'Advanced options'!Q89</f>
        <v>3.4096408471765316</v>
      </c>
      <c r="Q14" s="292">
        <f>'Advanced options'!R89</f>
        <v>4.5714643532117396</v>
      </c>
      <c r="R14" s="292">
        <f>'Advanced options'!S89</f>
        <v>3.4722110683326646</v>
      </c>
      <c r="S14" s="292">
        <f>'Advanced options'!T89</f>
        <v>3.4089074638293795</v>
      </c>
      <c r="T14" s="292">
        <f>'Advanced options'!U89</f>
        <v>1.3634137362549419</v>
      </c>
      <c r="V14" s="138"/>
      <c r="W14" s="151">
        <v>18</v>
      </c>
      <c r="X14" s="292">
        <f t="shared" ref="X14" si="18">N14/D42</f>
        <v>0.74839171969473584</v>
      </c>
      <c r="Y14" s="292">
        <f t="shared" si="4"/>
        <v>0.66666666666666663</v>
      </c>
      <c r="Z14" s="292">
        <f t="shared" si="9"/>
        <v>0.68192816943530632</v>
      </c>
      <c r="AA14" s="292">
        <f t="shared" si="14"/>
        <v>1.1428660883029349</v>
      </c>
      <c r="AB14" s="292">
        <f t="shared" ref="AB14" si="19">R14/H42</f>
        <v>1.1574036894442215</v>
      </c>
      <c r="AC14" s="292">
        <f t="shared" ref="AC14:AD14" si="20">S14/I42</f>
        <v>1.7044537319146897</v>
      </c>
      <c r="AD14" s="292">
        <f t="shared" si="20"/>
        <v>1.3634137362549419</v>
      </c>
      <c r="AF14" s="138"/>
      <c r="AG14" s="151">
        <v>18</v>
      </c>
      <c r="AH14" s="292">
        <f t="shared" si="1"/>
        <v>6.7440571428571428</v>
      </c>
      <c r="AI14" s="292">
        <f t="shared" si="6"/>
        <v>0.1923333333333333</v>
      </c>
      <c r="AJ14" s="292">
        <f t="shared" si="11"/>
        <v>2.5082</v>
      </c>
      <c r="AK14" s="292">
        <f t="shared" si="16"/>
        <v>5.0191249999999989</v>
      </c>
      <c r="AL14" s="292">
        <f t="shared" ref="AL14" si="21">AB14*H14</f>
        <v>4.9001000000000001</v>
      </c>
      <c r="AM14" s="292">
        <f t="shared" ref="AM14:AN14" si="22">AC14*I14</f>
        <v>10.685049999999999</v>
      </c>
      <c r="AN14" s="292">
        <f t="shared" si="22"/>
        <v>8.5182000000000002</v>
      </c>
      <c r="AP14" s="138"/>
      <c r="AQ14" s="151">
        <v>18</v>
      </c>
      <c r="AR14" s="143">
        <f>SUM($AH14:AH14)</f>
        <v>6.7440571428571428</v>
      </c>
      <c r="AS14" s="143">
        <f>SUM($AH14:AI14)</f>
        <v>6.9363904761904758</v>
      </c>
      <c r="AT14" s="143">
        <f>SUM($AH14:AJ14)</f>
        <v>9.4445904761904753</v>
      </c>
      <c r="AU14" s="143">
        <f>SUM($AH14:AK14)</f>
        <v>14.463715476190474</v>
      </c>
      <c r="AV14" s="143">
        <f>SUM($AH14:AL14)</f>
        <v>19.363815476190474</v>
      </c>
      <c r="AW14" s="143">
        <f>SUM($AH14:AM14)</f>
        <v>30.048865476190471</v>
      </c>
      <c r="AX14" s="143">
        <f>SUM($AH14:AN14)</f>
        <v>38.567065476190471</v>
      </c>
      <c r="AZ14" s="138"/>
      <c r="BA14" s="151">
        <v>18</v>
      </c>
      <c r="BB14" s="292">
        <f>SUM($D14:D14)</f>
        <v>9.0114000000000001</v>
      </c>
      <c r="BC14" s="292">
        <f>SUM($D14:E14)</f>
        <v>9.2999000000000009</v>
      </c>
      <c r="BD14" s="292">
        <f>SUM($D14:F14)</f>
        <v>12.978000000000002</v>
      </c>
      <c r="BE14" s="292">
        <f>SUM($D14:G14)</f>
        <v>17.369700000000002</v>
      </c>
      <c r="BF14" s="292">
        <f>SUM($D14:H14)</f>
        <v>21.603400000000001</v>
      </c>
      <c r="BG14" s="292">
        <f>SUM($D14:I14)</f>
        <v>27.872300000000003</v>
      </c>
      <c r="BH14" s="292">
        <f>SUM($D14:J14)</f>
        <v>34.120000000000005</v>
      </c>
    </row>
    <row r="15" spans="2:64">
      <c r="N15" s="297"/>
      <c r="O15" s="297"/>
      <c r="AP15" s="298"/>
      <c r="AQ15" s="299" t="s">
        <v>104</v>
      </c>
      <c r="AR15" s="300">
        <f>SUM(AR9:AR14)</f>
        <v>35.149925491550981</v>
      </c>
      <c r="AS15" s="300">
        <f t="shared" ref="AS15:AX15" si="23">SUM(AS9:AS14)</f>
        <v>38.395737158217642</v>
      </c>
      <c r="AT15" s="300">
        <f t="shared" si="23"/>
        <v>64.779712158217649</v>
      </c>
      <c r="AU15" s="300">
        <f t="shared" si="23"/>
        <v>79.277270491550979</v>
      </c>
      <c r="AV15" s="300">
        <f t="shared" si="23"/>
        <v>88.115391393991558</v>
      </c>
      <c r="AW15" s="300">
        <f t="shared" si="23"/>
        <v>100.01756375619047</v>
      </c>
      <c r="AX15" s="300">
        <f t="shared" si="23"/>
        <v>38.567065476190471</v>
      </c>
      <c r="AZ15" s="298"/>
      <c r="BA15" s="299" t="s">
        <v>104</v>
      </c>
      <c r="BB15" s="301">
        <f>SUM(BB9:BB14)</f>
        <v>41.650900000000007</v>
      </c>
      <c r="BC15" s="301">
        <f t="shared" ref="BC15:BH15" si="24">SUM(BC9:BC14)</f>
        <v>45.932600000000001</v>
      </c>
      <c r="BD15" s="301">
        <f t="shared" si="24"/>
        <v>63.903000000000006</v>
      </c>
      <c r="BE15" s="301">
        <f t="shared" si="24"/>
        <v>80.5869</v>
      </c>
      <c r="BF15" s="301">
        <f t="shared" si="24"/>
        <v>79.187399999999997</v>
      </c>
      <c r="BG15" s="301">
        <f t="shared" si="24"/>
        <v>75.794900000000013</v>
      </c>
      <c r="BH15" s="301">
        <f t="shared" si="24"/>
        <v>34.120000000000005</v>
      </c>
    </row>
    <row r="17" spans="2:64">
      <c r="B17" s="138" t="s">
        <v>95</v>
      </c>
      <c r="C17" s="139"/>
      <c r="D17" s="140">
        <v>11</v>
      </c>
      <c r="E17" s="140">
        <v>12</v>
      </c>
      <c r="F17" s="140">
        <v>13</v>
      </c>
      <c r="G17" s="140">
        <v>14</v>
      </c>
      <c r="H17" s="140">
        <v>15</v>
      </c>
      <c r="I17" s="140">
        <v>16</v>
      </c>
      <c r="J17" s="140">
        <v>17</v>
      </c>
      <c r="L17" s="138" t="s">
        <v>95</v>
      </c>
      <c r="M17" s="139"/>
      <c r="N17" s="140">
        <v>11</v>
      </c>
      <c r="O17" s="140">
        <v>12</v>
      </c>
      <c r="P17" s="140">
        <v>13</v>
      </c>
      <c r="Q17" s="140">
        <v>14</v>
      </c>
      <c r="R17" s="140">
        <v>15</v>
      </c>
      <c r="S17" s="140">
        <v>16</v>
      </c>
      <c r="T17" s="140">
        <v>17</v>
      </c>
      <c r="V17" s="138" t="s">
        <v>95</v>
      </c>
      <c r="W17" s="139"/>
      <c r="X17" s="140">
        <v>11</v>
      </c>
      <c r="Y17" s="140">
        <v>12</v>
      </c>
      <c r="Z17" s="140">
        <v>13</v>
      </c>
      <c r="AA17" s="140">
        <v>14</v>
      </c>
      <c r="AB17" s="140">
        <v>15</v>
      </c>
      <c r="AC17" s="140">
        <v>16</v>
      </c>
      <c r="AD17" s="140">
        <v>17</v>
      </c>
      <c r="AF17" s="138" t="s">
        <v>95</v>
      </c>
      <c r="AG17" s="139"/>
      <c r="AH17" s="140">
        <v>11</v>
      </c>
      <c r="AI17" s="140">
        <v>12</v>
      </c>
      <c r="AJ17" s="140">
        <v>13</v>
      </c>
      <c r="AK17" s="140">
        <v>14</v>
      </c>
      <c r="AL17" s="140">
        <v>15</v>
      </c>
      <c r="AM17" s="140">
        <v>16</v>
      </c>
      <c r="AN17" s="140">
        <v>17</v>
      </c>
      <c r="AP17" s="138" t="s">
        <v>95</v>
      </c>
      <c r="AQ17" s="139"/>
      <c r="AR17" s="140">
        <v>11</v>
      </c>
      <c r="AS17" s="140">
        <v>12</v>
      </c>
      <c r="AT17" s="140">
        <v>13</v>
      </c>
      <c r="AU17" s="140">
        <v>14</v>
      </c>
      <c r="AV17" s="140">
        <v>15</v>
      </c>
      <c r="AW17" s="140">
        <v>16</v>
      </c>
      <c r="AX17" s="140">
        <v>17</v>
      </c>
      <c r="AZ17" s="138" t="s">
        <v>95</v>
      </c>
      <c r="BA17" s="139"/>
      <c r="BB17" s="140">
        <v>11</v>
      </c>
      <c r="BC17" s="140">
        <v>12</v>
      </c>
      <c r="BD17" s="140">
        <v>13</v>
      </c>
      <c r="BE17" s="140">
        <v>14</v>
      </c>
      <c r="BF17" s="140">
        <v>15</v>
      </c>
      <c r="BG17" s="140">
        <v>16</v>
      </c>
      <c r="BH17" s="140">
        <v>17</v>
      </c>
      <c r="BJ17" s="140" t="s">
        <v>4</v>
      </c>
      <c r="BK17" s="140" t="s">
        <v>5</v>
      </c>
      <c r="BL17" s="140">
        <v>18</v>
      </c>
    </row>
    <row r="18" spans="2:64">
      <c r="B18" s="138"/>
      <c r="C18" s="139">
        <v>13</v>
      </c>
      <c r="D18" s="292">
        <f>'Advanced options'!E93</f>
        <v>0</v>
      </c>
      <c r="E18" s="292">
        <f>'Advanced options'!F93</f>
        <v>0</v>
      </c>
      <c r="F18" s="293"/>
      <c r="G18" s="293"/>
      <c r="H18" s="293"/>
      <c r="I18" s="293"/>
      <c r="J18" s="293"/>
      <c r="L18" s="138"/>
      <c r="M18" s="139">
        <v>13</v>
      </c>
      <c r="N18" s="292">
        <f>'Advanced options'!O93</f>
        <v>0</v>
      </c>
      <c r="O18" s="292">
        <f>'Advanced options'!P93</f>
        <v>0</v>
      </c>
      <c r="P18" s="293"/>
      <c r="Q18" s="293"/>
      <c r="R18" s="293"/>
      <c r="S18" s="293"/>
      <c r="T18" s="293"/>
      <c r="V18" s="138"/>
      <c r="W18" s="139">
        <v>13</v>
      </c>
      <c r="X18" s="292">
        <f>N18/D37</f>
        <v>0</v>
      </c>
      <c r="Y18" s="292">
        <f>O18/E37</f>
        <v>0</v>
      </c>
      <c r="Z18" s="293"/>
      <c r="AA18" s="293"/>
      <c r="AB18" s="293"/>
      <c r="AC18" s="293"/>
      <c r="AD18" s="293"/>
      <c r="AF18" s="138"/>
      <c r="AG18" s="139">
        <v>13</v>
      </c>
      <c r="AH18" s="292">
        <f>X18*D18</f>
        <v>0</v>
      </c>
      <c r="AI18" s="292">
        <f>Y18*E18</f>
        <v>0</v>
      </c>
      <c r="AJ18" s="293"/>
      <c r="AK18" s="293"/>
      <c r="AL18" s="293"/>
      <c r="AM18" s="293"/>
      <c r="AN18" s="293"/>
      <c r="AP18" s="138"/>
      <c r="AQ18" s="139">
        <v>13</v>
      </c>
      <c r="AR18" s="292">
        <f>SUM($AH18:AH18)</f>
        <v>0</v>
      </c>
      <c r="AS18" s="292">
        <f>SUM($AH18:AI18)</f>
        <v>0</v>
      </c>
      <c r="AT18" s="293"/>
      <c r="AU18" s="293"/>
      <c r="AV18" s="293"/>
      <c r="AW18" s="293"/>
      <c r="AX18" s="293"/>
      <c r="AZ18" s="138"/>
      <c r="BA18" s="139">
        <v>13</v>
      </c>
      <c r="BB18" s="292">
        <f>SUM($D18:D18)</f>
        <v>0</v>
      </c>
      <c r="BC18" s="292">
        <f>SUM($D18:E18)</f>
        <v>0</v>
      </c>
      <c r="BD18" s="293"/>
      <c r="BE18" s="293"/>
      <c r="BF18" s="293"/>
      <c r="BG18" s="293"/>
      <c r="BH18" s="293"/>
      <c r="BJ18" s="294">
        <f>SUM(AT24:AV24)/SUM(BD24:BF24)</f>
        <v>1.3155901787028694</v>
      </c>
      <c r="BK18" s="294">
        <f>SUM(AW24:AX24)/SUM(BG24:BH24)</f>
        <v>1.3197542970220506</v>
      </c>
      <c r="BL18" s="294">
        <f>BK18</f>
        <v>1.3197542970220506</v>
      </c>
    </row>
    <row r="19" spans="2:64">
      <c r="B19" s="138"/>
      <c r="C19" s="139">
        <v>14</v>
      </c>
      <c r="D19" s="292">
        <f>'Advanced options'!E94</f>
        <v>11.1173</v>
      </c>
      <c r="E19" s="292">
        <f>'Advanced options'!F94</f>
        <v>12.908700000000001</v>
      </c>
      <c r="F19" s="292">
        <f>'Advanced options'!G94</f>
        <v>57.569400000000002</v>
      </c>
      <c r="G19" s="295"/>
      <c r="H19" s="296"/>
      <c r="I19" s="296"/>
      <c r="J19" s="296"/>
      <c r="L19" s="138"/>
      <c r="M19" s="139">
        <v>14</v>
      </c>
      <c r="N19" s="292">
        <f>'Advanced options'!O94</f>
        <v>4.4510807480233501</v>
      </c>
      <c r="O19" s="292">
        <f>'Advanced options'!P94</f>
        <v>2.0421498679185355</v>
      </c>
      <c r="P19" s="292">
        <f>'Advanced options'!Q94</f>
        <v>2.60585824565849</v>
      </c>
      <c r="Q19" s="295"/>
      <c r="R19" s="296"/>
      <c r="S19" s="296"/>
      <c r="T19" s="296"/>
      <c r="V19" s="138"/>
      <c r="W19" s="139">
        <v>14</v>
      </c>
      <c r="X19" s="292">
        <f t="shared" ref="X19:Z19" si="25">N19/D38</f>
        <v>1.48369358267445</v>
      </c>
      <c r="Y19" s="292">
        <f t="shared" si="25"/>
        <v>1.0210749339592677</v>
      </c>
      <c r="Z19" s="292">
        <f t="shared" si="25"/>
        <v>2.60585824565849</v>
      </c>
      <c r="AA19" s="295"/>
      <c r="AB19" s="296"/>
      <c r="AC19" s="296"/>
      <c r="AD19" s="296"/>
      <c r="AF19" s="138"/>
      <c r="AG19" s="139">
        <v>14</v>
      </c>
      <c r="AH19" s="292">
        <f t="shared" ref="AH19:AH23" si="26">X19*D19</f>
        <v>16.494666666666664</v>
      </c>
      <c r="AI19" s="292">
        <f t="shared" ref="AI19:AJ19" si="27">Y19*E19</f>
        <v>13.180750000000002</v>
      </c>
      <c r="AJ19" s="292">
        <f t="shared" si="27"/>
        <v>150.01769568761188</v>
      </c>
      <c r="AK19" s="295"/>
      <c r="AL19" s="296"/>
      <c r="AM19" s="296"/>
      <c r="AN19" s="296"/>
      <c r="AP19" s="138"/>
      <c r="AQ19" s="139">
        <v>14</v>
      </c>
      <c r="AR19" s="292">
        <f>SUM($AH19:AH19)</f>
        <v>16.494666666666664</v>
      </c>
      <c r="AS19" s="292">
        <f>SUM($AH19:AI19)</f>
        <v>29.675416666666663</v>
      </c>
      <c r="AT19" s="292">
        <f>SUM($AH19:AJ19)</f>
        <v>179.69311235427853</v>
      </c>
      <c r="AU19" s="295"/>
      <c r="AV19" s="296"/>
      <c r="AW19" s="296"/>
      <c r="AX19" s="296"/>
      <c r="AZ19" s="138"/>
      <c r="BA19" s="139">
        <v>14</v>
      </c>
      <c r="BB19" s="292">
        <f>SUM($D19:D19)</f>
        <v>11.1173</v>
      </c>
      <c r="BC19" s="292">
        <f>SUM($D19:E19)</f>
        <v>24.026000000000003</v>
      </c>
      <c r="BD19" s="292">
        <f>SUM($D19:F19)</f>
        <v>81.595400000000012</v>
      </c>
      <c r="BE19" s="295"/>
      <c r="BF19" s="296"/>
      <c r="BG19" s="296"/>
      <c r="BH19" s="296"/>
    </row>
    <row r="20" spans="2:64">
      <c r="B20" s="138"/>
      <c r="C20" s="139">
        <v>15</v>
      </c>
      <c r="D20" s="292">
        <f>'Advanced options'!E95</f>
        <v>39.752099999999999</v>
      </c>
      <c r="E20" s="292">
        <f>'Advanced options'!F95</f>
        <v>30.372899999999998</v>
      </c>
      <c r="F20" s="292">
        <f>'Advanced options'!G95</f>
        <v>96.330199999999962</v>
      </c>
      <c r="G20" s="292">
        <f>'Advanced options'!H95</f>
        <v>178.36840000000012</v>
      </c>
      <c r="H20" s="295"/>
      <c r="I20" s="296"/>
      <c r="J20" s="296"/>
      <c r="L20" s="138"/>
      <c r="M20" s="139">
        <v>15</v>
      </c>
      <c r="N20" s="292">
        <f>'Advanced options'!O95</f>
        <v>4.8075598521839087</v>
      </c>
      <c r="O20" s="292">
        <f>'Advanced options'!P95</f>
        <v>3.1966259395711298</v>
      </c>
      <c r="P20" s="292">
        <f>'Advanced options'!Q95</f>
        <v>2.984036049258632</v>
      </c>
      <c r="Q20" s="292">
        <f>'Advanced options'!R95</f>
        <v>2.225999182326984</v>
      </c>
      <c r="R20" s="295"/>
      <c r="S20" s="296"/>
      <c r="T20" s="296"/>
      <c r="V20" s="138"/>
      <c r="W20" s="139">
        <v>15</v>
      </c>
      <c r="X20" s="292">
        <f t="shared" ref="X20" si="28">N20/D39</f>
        <v>1.2018899630459772</v>
      </c>
      <c r="Y20" s="292">
        <f t="shared" ref="Y20:Y23" si="29">O20/E39</f>
        <v>1.0655419798570434</v>
      </c>
      <c r="Z20" s="292">
        <f t="shared" ref="Z20:AA20" si="30">P20/F39</f>
        <v>1.492018024629316</v>
      </c>
      <c r="AA20" s="292">
        <f t="shared" si="30"/>
        <v>2.225999182326984</v>
      </c>
      <c r="AB20" s="295"/>
      <c r="AC20" s="296"/>
      <c r="AD20" s="296"/>
      <c r="AF20" s="138"/>
      <c r="AG20" s="139">
        <v>15</v>
      </c>
      <c r="AH20" s="292">
        <f t="shared" si="26"/>
        <v>47.777649999999987</v>
      </c>
      <c r="AI20" s="292">
        <f t="shared" ref="AI20:AI23" si="31">Y20*E20</f>
        <v>32.363599999999991</v>
      </c>
      <c r="AJ20" s="292">
        <f t="shared" ref="AJ20:AK20" si="32">Z20*F20</f>
        <v>143.72639471614687</v>
      </c>
      <c r="AK20" s="292">
        <f t="shared" si="32"/>
        <v>397.04791255297266</v>
      </c>
      <c r="AL20" s="295"/>
      <c r="AM20" s="296"/>
      <c r="AN20" s="296"/>
      <c r="AP20" s="138"/>
      <c r="AQ20" s="139">
        <v>15</v>
      </c>
      <c r="AR20" s="292">
        <f>SUM($AH20:AH20)</f>
        <v>47.777649999999987</v>
      </c>
      <c r="AS20" s="292">
        <f>SUM($AH20:AI20)</f>
        <v>80.141249999999985</v>
      </c>
      <c r="AT20" s="292">
        <f>SUM($AH20:AJ20)</f>
        <v>223.86764471614686</v>
      </c>
      <c r="AU20" s="292">
        <f>SUM($AH20:AK20)</f>
        <v>620.91555726911952</v>
      </c>
      <c r="AV20" s="295"/>
      <c r="AW20" s="296"/>
      <c r="AX20" s="296"/>
      <c r="AZ20" s="138"/>
      <c r="BA20" s="139">
        <v>15</v>
      </c>
      <c r="BB20" s="292">
        <f>SUM($D20:D20)</f>
        <v>39.752099999999999</v>
      </c>
      <c r="BC20" s="292">
        <f>SUM($D20:E20)</f>
        <v>70.125</v>
      </c>
      <c r="BD20" s="292">
        <f>SUM($D20:F20)</f>
        <v>166.45519999999996</v>
      </c>
      <c r="BE20" s="292">
        <f>SUM($D20:G20)</f>
        <v>344.82360000000006</v>
      </c>
      <c r="BF20" s="295"/>
      <c r="BG20" s="296"/>
      <c r="BH20" s="296"/>
    </row>
    <row r="21" spans="2:64">
      <c r="B21" s="138"/>
      <c r="C21" s="139">
        <v>16</v>
      </c>
      <c r="D21" s="292">
        <f>'Advanced options'!E96</f>
        <v>40.52239999999999</v>
      </c>
      <c r="E21" s="292">
        <f>'Advanced options'!F96</f>
        <v>59.223099999999988</v>
      </c>
      <c r="F21" s="292">
        <f>'Advanced options'!G96</f>
        <v>88.431799999999967</v>
      </c>
      <c r="G21" s="292">
        <f>'Advanced options'!H96</f>
        <v>127.50350000000007</v>
      </c>
      <c r="H21" s="292">
        <f>'Advanced options'!I96</f>
        <v>234.02890000000008</v>
      </c>
      <c r="I21" s="295"/>
      <c r="J21" s="296"/>
      <c r="L21" s="138"/>
      <c r="M21" s="139">
        <v>16</v>
      </c>
      <c r="N21" s="292">
        <f>'Advanced options'!O96</f>
        <v>4.7180863483168896</v>
      </c>
      <c r="O21" s="292">
        <f>'Advanced options'!P96</f>
        <v>4.7105643943569317</v>
      </c>
      <c r="P21" s="292">
        <f>'Advanced options'!Q96</f>
        <v>3.6530582663324411</v>
      </c>
      <c r="Q21" s="292">
        <f>'Advanced options'!R96</f>
        <v>3.3271239868639988</v>
      </c>
      <c r="R21" s="292">
        <f>'Advanced options'!S96</f>
        <v>1.8715785050709208</v>
      </c>
      <c r="S21" s="295"/>
      <c r="T21" s="296"/>
      <c r="V21" s="138"/>
      <c r="W21" s="139">
        <v>16</v>
      </c>
      <c r="X21" s="292">
        <f t="shared" ref="X21" si="33">N21/D40</f>
        <v>0.94361726966337789</v>
      </c>
      <c r="Y21" s="292">
        <f t="shared" si="29"/>
        <v>1.1776410985892329</v>
      </c>
      <c r="Z21" s="292">
        <f t="shared" ref="Z21:Z23" si="34">P21/F40</f>
        <v>1.2176860887774803</v>
      </c>
      <c r="AA21" s="292">
        <f t="shared" ref="AA21:AB21" si="35">Q21/G40</f>
        <v>1.6635619934319994</v>
      </c>
      <c r="AB21" s="292">
        <f t="shared" si="35"/>
        <v>1.8715785050709208</v>
      </c>
      <c r="AC21" s="295"/>
      <c r="AD21" s="296"/>
      <c r="AF21" s="138"/>
      <c r="AG21" s="139">
        <v>16</v>
      </c>
      <c r="AH21" s="292">
        <f t="shared" si="26"/>
        <v>38.237636448207255</v>
      </c>
      <c r="AI21" s="292">
        <f t="shared" si="31"/>
        <v>69.743556545859988</v>
      </c>
      <c r="AJ21" s="292">
        <f t="shared" ref="AJ21:AJ23" si="36">Z21*F21</f>
        <v>107.68217266555234</v>
      </c>
      <c r="AK21" s="292">
        <f t="shared" ref="AK21:AL21" si="37">AA21*G21</f>
        <v>212.10997662955705</v>
      </c>
      <c r="AL21" s="292">
        <f t="shared" si="37"/>
        <v>438.00345880539214</v>
      </c>
      <c r="AM21" s="295"/>
      <c r="AN21" s="296"/>
      <c r="AP21" s="138"/>
      <c r="AQ21" s="139">
        <v>16</v>
      </c>
      <c r="AR21" s="292">
        <f>SUM($AH21:AH21)</f>
        <v>38.237636448207255</v>
      </c>
      <c r="AS21" s="292">
        <f>SUM($AH21:AI21)</f>
        <v>107.98119299406724</v>
      </c>
      <c r="AT21" s="292">
        <f>SUM($AH21:AJ21)</f>
        <v>215.66336565961959</v>
      </c>
      <c r="AU21" s="292">
        <f>SUM($AH21:AK21)</f>
        <v>427.77334228917664</v>
      </c>
      <c r="AV21" s="292">
        <f>SUM($AH21:AL21)</f>
        <v>865.77680109456878</v>
      </c>
      <c r="AW21" s="295"/>
      <c r="AX21" s="296"/>
      <c r="AZ21" s="138"/>
      <c r="BA21" s="139">
        <v>16</v>
      </c>
      <c r="BB21" s="292">
        <f>SUM($D21:D21)</f>
        <v>40.52239999999999</v>
      </c>
      <c r="BC21" s="292">
        <f>SUM($D21:E21)</f>
        <v>99.745499999999979</v>
      </c>
      <c r="BD21" s="292">
        <f>SUM($D21:F21)</f>
        <v>188.17729999999995</v>
      </c>
      <c r="BE21" s="292">
        <f>SUM($D21:G21)</f>
        <v>315.68080000000003</v>
      </c>
      <c r="BF21" s="292">
        <f>SUM($D21:H21)</f>
        <v>549.70970000000011</v>
      </c>
      <c r="BG21" s="295"/>
      <c r="BH21" s="296"/>
    </row>
    <row r="22" spans="2:64">
      <c r="B22" s="138"/>
      <c r="C22" s="139">
        <v>17</v>
      </c>
      <c r="D22" s="292">
        <f>'Advanced options'!E97</f>
        <v>46.614899999999999</v>
      </c>
      <c r="E22" s="292">
        <f>'Advanced options'!F97</f>
        <v>28.119599999999998</v>
      </c>
      <c r="F22" s="292">
        <f>'Advanced options'!G97</f>
        <v>74.650100000000009</v>
      </c>
      <c r="G22" s="292">
        <f>'Advanced options'!H97</f>
        <v>195.1155</v>
      </c>
      <c r="H22" s="292">
        <f>'Advanced options'!I97</f>
        <v>206.66639999999995</v>
      </c>
      <c r="I22" s="292">
        <f>'Advanced options'!J97</f>
        <v>260.21759999999978</v>
      </c>
      <c r="J22" s="293"/>
      <c r="L22" s="138"/>
      <c r="M22" s="139">
        <v>17</v>
      </c>
      <c r="N22" s="292">
        <f>'Advanced options'!O97</f>
        <v>5.1909159079661915</v>
      </c>
      <c r="O22" s="292">
        <f>'Advanced options'!P97</f>
        <v>4.6338070242819951</v>
      </c>
      <c r="P22" s="292">
        <f>'Advanced options'!Q97</f>
        <v>4.3213940771680139</v>
      </c>
      <c r="Q22" s="292">
        <f>'Advanced options'!R97</f>
        <v>3.787240464662843</v>
      </c>
      <c r="R22" s="292">
        <f>'Advanced options'!S97</f>
        <v>2.9388377142175672</v>
      </c>
      <c r="S22" s="292">
        <f>'Advanced options'!T97</f>
        <v>2.0598343268513148</v>
      </c>
      <c r="T22" s="295"/>
      <c r="V22" s="138"/>
      <c r="W22" s="139">
        <v>17</v>
      </c>
      <c r="X22" s="292">
        <f t="shared" ref="X22" si="38">N22/D41</f>
        <v>0.86515265132769859</v>
      </c>
      <c r="Y22" s="292">
        <f t="shared" si="29"/>
        <v>0.92676140485639902</v>
      </c>
      <c r="Z22" s="292">
        <f t="shared" si="34"/>
        <v>1.0803485192920035</v>
      </c>
      <c r="AA22" s="292">
        <f t="shared" ref="AA22:AA23" si="39">Q22/G41</f>
        <v>1.2624134882209477</v>
      </c>
      <c r="AB22" s="292">
        <f t="shared" ref="AB22:AC22" si="40">R22/H41</f>
        <v>1.4694188571087836</v>
      </c>
      <c r="AC22" s="292">
        <f t="shared" si="40"/>
        <v>2.0598343268513148</v>
      </c>
      <c r="AD22" s="295"/>
      <c r="AF22" s="138"/>
      <c r="AG22" s="139">
        <v>17</v>
      </c>
      <c r="AH22" s="292">
        <f t="shared" si="26"/>
        <v>40.329004326375532</v>
      </c>
      <c r="AI22" s="292">
        <f t="shared" si="31"/>
        <v>26.060159999999996</v>
      </c>
      <c r="AJ22" s="292">
        <f t="shared" si="36"/>
        <v>80.648124999999993</v>
      </c>
      <c r="AK22" s="292">
        <f t="shared" ref="AK22:AK23" si="41">AA22*G22</f>
        <v>246.31643896097432</v>
      </c>
      <c r="AL22" s="292">
        <f t="shared" ref="AL22:AM22" si="42">AB22*H22</f>
        <v>303.67950529078666</v>
      </c>
      <c r="AM22" s="292">
        <f t="shared" si="42"/>
        <v>536.00514493086428</v>
      </c>
      <c r="AN22" s="295"/>
      <c r="AP22" s="138"/>
      <c r="AQ22" s="139">
        <v>17</v>
      </c>
      <c r="AR22" s="292">
        <f>SUM($AH22:AH22)</f>
        <v>40.329004326375532</v>
      </c>
      <c r="AS22" s="292">
        <f>SUM($AH22:AI22)</f>
        <v>66.389164326375521</v>
      </c>
      <c r="AT22" s="292">
        <f>SUM($AH22:AJ22)</f>
        <v>147.03728932637551</v>
      </c>
      <c r="AU22" s="292">
        <f>SUM($AH22:AK22)</f>
        <v>393.35372828734984</v>
      </c>
      <c r="AV22" s="292">
        <f>SUM($AH22:AL22)</f>
        <v>697.03323357813656</v>
      </c>
      <c r="AW22" s="292">
        <f>SUM($AH22:AM22)</f>
        <v>1233.0383785090007</v>
      </c>
      <c r="AX22" s="295"/>
      <c r="AZ22" s="138"/>
      <c r="BA22" s="139">
        <v>17</v>
      </c>
      <c r="BB22" s="292">
        <f>SUM($D22:D22)</f>
        <v>46.614899999999999</v>
      </c>
      <c r="BC22" s="292">
        <f>SUM($D22:E22)</f>
        <v>74.734499999999997</v>
      </c>
      <c r="BD22" s="292">
        <f>SUM($D22:F22)</f>
        <v>149.38460000000001</v>
      </c>
      <c r="BE22" s="292">
        <f>SUM($D22:G22)</f>
        <v>344.50009999999997</v>
      </c>
      <c r="BF22" s="292">
        <f>SUM($D22:H22)</f>
        <v>551.16649999999993</v>
      </c>
      <c r="BG22" s="292">
        <f>SUM($D22:I22)</f>
        <v>811.38409999999976</v>
      </c>
      <c r="BH22" s="295"/>
    </row>
    <row r="23" spans="2:64">
      <c r="B23" s="138"/>
      <c r="C23" s="151">
        <v>18</v>
      </c>
      <c r="D23" s="292">
        <f>'Advanced options'!E98</f>
        <v>38.321700000000007</v>
      </c>
      <c r="E23" s="292">
        <f>'Advanced options'!F98</f>
        <v>22.127400000000005</v>
      </c>
      <c r="F23" s="292">
        <f>'Advanced options'!G98</f>
        <v>52.553300000000007</v>
      </c>
      <c r="G23" s="292">
        <f>'Advanced options'!H98</f>
        <v>91.787999999999982</v>
      </c>
      <c r="H23" s="292">
        <f>'Advanced options'!I98</f>
        <v>119.12839999999998</v>
      </c>
      <c r="I23" s="292">
        <f>'Advanced options'!J98</f>
        <v>141.82639999999984</v>
      </c>
      <c r="J23" s="292">
        <f>'Advanced options'!K98</f>
        <v>178.71379999999991</v>
      </c>
      <c r="L23" s="138"/>
      <c r="M23" s="151">
        <v>18</v>
      </c>
      <c r="N23" s="292">
        <f>'Advanced options'!O98</f>
        <v>5.4993696977956441</v>
      </c>
      <c r="O23" s="292">
        <f>'Advanced options'!P98</f>
        <v>4.7046828818568818</v>
      </c>
      <c r="P23" s="292">
        <f>'Advanced options'!Q98</f>
        <v>4.5899667575585203</v>
      </c>
      <c r="Q23" s="292">
        <f>'Advanced options'!R98</f>
        <v>4.1799713003456311</v>
      </c>
      <c r="R23" s="292">
        <f>'Advanced options'!S98</f>
        <v>3.4017206169008101</v>
      </c>
      <c r="S23" s="292">
        <f>'Advanced options'!T98</f>
        <v>2.8142362775900729</v>
      </c>
      <c r="T23" s="292">
        <f>'Advanced options'!U98</f>
        <v>1.4014336816860293</v>
      </c>
      <c r="V23" s="138"/>
      <c r="W23" s="151">
        <v>18</v>
      </c>
      <c r="X23" s="292">
        <f t="shared" ref="X23" si="43">N23/D42</f>
        <v>0.78562424254223484</v>
      </c>
      <c r="Y23" s="292">
        <f t="shared" si="29"/>
        <v>0.78411381364281363</v>
      </c>
      <c r="Z23" s="292">
        <f t="shared" si="34"/>
        <v>0.91799335151170403</v>
      </c>
      <c r="AA23" s="292">
        <f t="shared" si="39"/>
        <v>1.0449928250864078</v>
      </c>
      <c r="AB23" s="292">
        <f t="shared" ref="AB23" si="44">R23/H42</f>
        <v>1.1339068723002701</v>
      </c>
      <c r="AC23" s="292">
        <f t="shared" ref="AC23:AD23" si="45">S23/I42</f>
        <v>1.4071181387950364</v>
      </c>
      <c r="AD23" s="292">
        <f t="shared" si="45"/>
        <v>1.4014336816860293</v>
      </c>
      <c r="AF23" s="138"/>
      <c r="AG23" s="151">
        <v>18</v>
      </c>
      <c r="AH23" s="292">
        <f t="shared" si="26"/>
        <v>30.106456535430766</v>
      </c>
      <c r="AI23" s="292">
        <f t="shared" si="31"/>
        <v>17.350399999999997</v>
      </c>
      <c r="AJ23" s="292">
        <f t="shared" si="36"/>
        <v>48.243580000000044</v>
      </c>
      <c r="AK23" s="292">
        <f t="shared" si="41"/>
        <v>95.917801429031186</v>
      </c>
      <c r="AL23" s="292">
        <f t="shared" ref="AL23" si="46">AB23*H23</f>
        <v>135.08051144613549</v>
      </c>
      <c r="AM23" s="292">
        <f t="shared" ref="AM23:AN23" si="47">AC23*I23</f>
        <v>199.56650000000013</v>
      </c>
      <c r="AN23" s="292">
        <f t="shared" si="47"/>
        <v>250.45553870210057</v>
      </c>
      <c r="AP23" s="138"/>
      <c r="AQ23" s="151">
        <v>18</v>
      </c>
      <c r="AR23" s="292">
        <f>SUM($AH23:AH23)</f>
        <v>30.106456535430766</v>
      </c>
      <c r="AS23" s="292">
        <f>SUM($AH23:AI23)</f>
        <v>47.456856535430759</v>
      </c>
      <c r="AT23" s="292">
        <f>SUM($AH23:AJ23)</f>
        <v>95.700436535430811</v>
      </c>
      <c r="AU23" s="292">
        <f>SUM($AH23:AK23)</f>
        <v>191.618237964462</v>
      </c>
      <c r="AV23" s="292">
        <f>SUM($AH23:AL23)</f>
        <v>326.69874941059749</v>
      </c>
      <c r="AW23" s="292">
        <f>SUM($AH23:AM23)</f>
        <v>526.26524941059756</v>
      </c>
      <c r="AX23" s="292">
        <f>SUM($AH23:AN23)</f>
        <v>776.72078811269807</v>
      </c>
      <c r="AZ23" s="138"/>
      <c r="BA23" s="151">
        <v>18</v>
      </c>
      <c r="BB23" s="292">
        <f>SUM($D23:D23)</f>
        <v>38.321700000000007</v>
      </c>
      <c r="BC23" s="292">
        <f>SUM($D23:E23)</f>
        <v>60.449100000000016</v>
      </c>
      <c r="BD23" s="292">
        <f>SUM($D23:F23)</f>
        <v>113.00240000000002</v>
      </c>
      <c r="BE23" s="292">
        <f>SUM($D23:G23)</f>
        <v>204.79040000000001</v>
      </c>
      <c r="BF23" s="292">
        <f>SUM($D23:H23)</f>
        <v>323.91879999999998</v>
      </c>
      <c r="BG23" s="292">
        <f>SUM($D23:I23)</f>
        <v>465.74519999999984</v>
      </c>
      <c r="BH23" s="292">
        <f>SUM($D23:J23)</f>
        <v>644.45899999999972</v>
      </c>
    </row>
    <row r="24" spans="2:64">
      <c r="AP24" s="298"/>
      <c r="AQ24" s="299" t="s">
        <v>104</v>
      </c>
      <c r="AR24" s="300">
        <f>SUM(AR18:AR23)</f>
        <v>172.94541397668021</v>
      </c>
      <c r="AS24" s="300">
        <f t="shared" ref="AS24:AX24" si="48">SUM(AS18:AS23)</f>
        <v>331.64388052254014</v>
      </c>
      <c r="AT24" s="300">
        <f t="shared" si="48"/>
        <v>861.96184859185132</v>
      </c>
      <c r="AU24" s="300">
        <f t="shared" si="48"/>
        <v>1633.6608658101081</v>
      </c>
      <c r="AV24" s="300">
        <f t="shared" si="48"/>
        <v>1889.5087840833028</v>
      </c>
      <c r="AW24" s="300">
        <f t="shared" si="48"/>
        <v>1759.3036279195983</v>
      </c>
      <c r="AX24" s="300">
        <f t="shared" si="48"/>
        <v>776.72078811269807</v>
      </c>
      <c r="AZ24" s="298"/>
      <c r="BA24" s="299" t="s">
        <v>104</v>
      </c>
      <c r="BB24" s="301">
        <f>SUM(BB18:BB23)</f>
        <v>176.32839999999999</v>
      </c>
      <c r="BC24" s="301">
        <f t="shared" ref="BC24:BH24" si="49">SUM(BC18:BC23)</f>
        <v>329.08010000000002</v>
      </c>
      <c r="BD24" s="301">
        <f t="shared" si="49"/>
        <v>698.61490000000003</v>
      </c>
      <c r="BE24" s="301">
        <f t="shared" si="49"/>
        <v>1209.7949000000001</v>
      </c>
      <c r="BF24" s="301">
        <f t="shared" si="49"/>
        <v>1424.7950000000001</v>
      </c>
      <c r="BG24" s="301">
        <f t="shared" si="49"/>
        <v>1277.1292999999996</v>
      </c>
      <c r="BH24" s="301">
        <f t="shared" si="49"/>
        <v>644.45899999999972</v>
      </c>
    </row>
    <row r="26" spans="2:64">
      <c r="B26" s="138" t="s">
        <v>67</v>
      </c>
      <c r="C26" s="139"/>
      <c r="D26" s="140">
        <v>11</v>
      </c>
      <c r="E26" s="140">
        <v>12</v>
      </c>
      <c r="F26" s="140">
        <v>13</v>
      </c>
      <c r="G26" s="140">
        <v>14</v>
      </c>
      <c r="H26" s="140">
        <v>15</v>
      </c>
      <c r="I26" s="140">
        <v>16</v>
      </c>
      <c r="J26" s="140">
        <v>17</v>
      </c>
      <c r="L26" s="138" t="s">
        <v>67</v>
      </c>
      <c r="M26" s="139"/>
      <c r="N26" s="140">
        <v>11</v>
      </c>
      <c r="O26" s="140">
        <v>12</v>
      </c>
      <c r="P26" s="140">
        <v>13</v>
      </c>
      <c r="Q26" s="140">
        <v>14</v>
      </c>
      <c r="R26" s="140">
        <v>15</v>
      </c>
      <c r="S26" s="140">
        <v>16</v>
      </c>
      <c r="T26" s="140">
        <v>17</v>
      </c>
      <c r="V26" s="138" t="s">
        <v>67</v>
      </c>
      <c r="W26" s="139"/>
      <c r="X26" s="140">
        <v>11</v>
      </c>
      <c r="Y26" s="140">
        <v>12</v>
      </c>
      <c r="Z26" s="140">
        <v>13</v>
      </c>
      <c r="AA26" s="140">
        <v>14</v>
      </c>
      <c r="AB26" s="140">
        <v>15</v>
      </c>
      <c r="AC26" s="140">
        <v>16</v>
      </c>
      <c r="AD26" s="140">
        <v>17</v>
      </c>
      <c r="AF26" s="138" t="s">
        <v>67</v>
      </c>
      <c r="AG26" s="139"/>
      <c r="AH26" s="140">
        <v>11</v>
      </c>
      <c r="AI26" s="140">
        <v>12</v>
      </c>
      <c r="AJ26" s="140">
        <v>13</v>
      </c>
      <c r="AK26" s="140">
        <v>14</v>
      </c>
      <c r="AL26" s="140">
        <v>15</v>
      </c>
      <c r="AM26" s="140">
        <v>16</v>
      </c>
      <c r="AN26" s="140">
        <v>17</v>
      </c>
      <c r="AP26" s="138" t="s">
        <v>67</v>
      </c>
      <c r="AQ26" s="139"/>
      <c r="AR26" s="140">
        <v>11</v>
      </c>
      <c r="AS26" s="140">
        <v>12</v>
      </c>
      <c r="AT26" s="140">
        <v>13</v>
      </c>
      <c r="AU26" s="140">
        <v>14</v>
      </c>
      <c r="AV26" s="140">
        <v>15</v>
      </c>
      <c r="AW26" s="140">
        <v>16</v>
      </c>
      <c r="AX26" s="140">
        <v>17</v>
      </c>
      <c r="AZ26" s="138" t="s">
        <v>67</v>
      </c>
      <c r="BA26" s="139"/>
      <c r="BB26" s="140">
        <v>11</v>
      </c>
      <c r="BC26" s="140">
        <v>12</v>
      </c>
      <c r="BD26" s="140">
        <v>13</v>
      </c>
      <c r="BE26" s="140">
        <v>14</v>
      </c>
      <c r="BF26" s="140">
        <v>15</v>
      </c>
      <c r="BG26" s="140">
        <v>16</v>
      </c>
      <c r="BH26" s="140">
        <v>17</v>
      </c>
      <c r="BJ26" s="140" t="s">
        <v>4</v>
      </c>
      <c r="BK26" s="140" t="s">
        <v>5</v>
      </c>
      <c r="BL26" s="140">
        <v>18</v>
      </c>
    </row>
    <row r="27" spans="2:64">
      <c r="B27" s="138"/>
      <c r="C27" s="139">
        <v>13</v>
      </c>
      <c r="D27" s="292">
        <f>'Advanced options'!E102</f>
        <v>0</v>
      </c>
      <c r="E27" s="292">
        <f>'Advanced options'!F102</f>
        <v>0</v>
      </c>
      <c r="F27" s="293"/>
      <c r="G27" s="293"/>
      <c r="H27" s="293"/>
      <c r="I27" s="293"/>
      <c r="J27" s="293"/>
      <c r="L27" s="138"/>
      <c r="M27" s="139">
        <v>13</v>
      </c>
      <c r="N27" s="292">
        <f>'Advanced options'!O102</f>
        <v>0</v>
      </c>
      <c r="O27" s="292">
        <f>'Advanced options'!P102</f>
        <v>0</v>
      </c>
      <c r="P27" s="293"/>
      <c r="Q27" s="293"/>
      <c r="R27" s="293"/>
      <c r="S27" s="293"/>
      <c r="T27" s="293"/>
      <c r="V27" s="138"/>
      <c r="W27" s="139">
        <v>13</v>
      </c>
      <c r="X27" s="292">
        <f>N27/D37</f>
        <v>0</v>
      </c>
      <c r="Y27" s="292">
        <f>O27/E37</f>
        <v>0</v>
      </c>
      <c r="Z27" s="293"/>
      <c r="AA27" s="293"/>
      <c r="AB27" s="293"/>
      <c r="AC27" s="293"/>
      <c r="AD27" s="293"/>
      <c r="AF27" s="138"/>
      <c r="AG27" s="139">
        <v>13</v>
      </c>
      <c r="AH27" s="292">
        <f>X27*D27</f>
        <v>0</v>
      </c>
      <c r="AI27" s="292">
        <f>Y27*E27</f>
        <v>0</v>
      </c>
      <c r="AJ27" s="293"/>
      <c r="AK27" s="293"/>
      <c r="AL27" s="293"/>
      <c r="AM27" s="293"/>
      <c r="AN27" s="293"/>
      <c r="AP27" s="138"/>
      <c r="AQ27" s="139">
        <v>13</v>
      </c>
      <c r="AR27" s="292">
        <f>SUM($AH27:AH27)</f>
        <v>0</v>
      </c>
      <c r="AS27" s="292">
        <f>SUM($AH27:AI27)</f>
        <v>0</v>
      </c>
      <c r="AT27" s="293"/>
      <c r="AU27" s="293"/>
      <c r="AV27" s="293"/>
      <c r="AW27" s="293"/>
      <c r="AX27" s="293"/>
      <c r="AZ27" s="138"/>
      <c r="BA27" s="139">
        <v>13</v>
      </c>
      <c r="BB27" s="292">
        <f>SUM($D27:D27)</f>
        <v>0</v>
      </c>
      <c r="BC27" s="292">
        <f>SUM($D27:E27)</f>
        <v>0</v>
      </c>
      <c r="BD27" s="293"/>
      <c r="BE27" s="293"/>
      <c r="BF27" s="293"/>
      <c r="BG27" s="293"/>
      <c r="BH27" s="293"/>
      <c r="BJ27" s="294">
        <f>SUM(AT33:AV33)/SUM(BD33:BF33)</f>
        <v>1.3784237923041542</v>
      </c>
      <c r="BK27" s="294">
        <f>SUM(AW33:AX33)/SUM(BG33:BH33)</f>
        <v>1.3082975480300059</v>
      </c>
      <c r="BL27" s="294">
        <f>BK27</f>
        <v>1.3082975480300059</v>
      </c>
    </row>
    <row r="28" spans="2:64">
      <c r="B28" s="138"/>
      <c r="C28" s="139">
        <v>14</v>
      </c>
      <c r="D28" s="292">
        <f>'Advanced options'!E103</f>
        <v>10.998500000000002</v>
      </c>
      <c r="E28" s="292">
        <f>'Advanced options'!F103</f>
        <v>1.9552</v>
      </c>
      <c r="F28" s="292">
        <f>'Advanced options'!G103</f>
        <v>31.728400000000004</v>
      </c>
      <c r="G28" s="295"/>
      <c r="H28" s="296"/>
      <c r="I28" s="296"/>
      <c r="J28" s="296"/>
      <c r="L28" s="138"/>
      <c r="M28" s="139">
        <v>14</v>
      </c>
      <c r="N28" s="292">
        <f>'Advanced options'!O103</f>
        <v>2.971131924003211</v>
      </c>
      <c r="O28" s="292">
        <f>'Advanced options'!P103</f>
        <v>5.1532835515548303</v>
      </c>
      <c r="P28" s="292">
        <f>'Advanced options'!Q103</f>
        <v>2.9699040677977093</v>
      </c>
      <c r="Q28" s="295"/>
      <c r="R28" s="296"/>
      <c r="S28" s="296"/>
      <c r="T28" s="296"/>
      <c r="V28" s="138"/>
      <c r="W28" s="139">
        <v>14</v>
      </c>
      <c r="X28" s="292">
        <f t="shared" ref="X28:Z28" si="50">N28/D38</f>
        <v>0.99037730800107038</v>
      </c>
      <c r="Y28" s="292">
        <f t="shared" si="50"/>
        <v>2.5766417757774152</v>
      </c>
      <c r="Z28" s="292">
        <f t="shared" si="50"/>
        <v>2.9699040677977093</v>
      </c>
      <c r="AA28" s="295"/>
      <c r="AB28" s="296"/>
      <c r="AC28" s="296"/>
      <c r="AD28" s="296"/>
      <c r="AF28" s="138"/>
      <c r="AG28" s="139">
        <v>14</v>
      </c>
      <c r="AH28" s="292">
        <f t="shared" ref="AH28:AH32" si="51">X28*D28</f>
        <v>10.892664822049774</v>
      </c>
      <c r="AI28" s="292">
        <f t="shared" ref="AI28:AJ28" si="52">Y28*E28</f>
        <v>5.0378500000000024</v>
      </c>
      <c r="AJ28" s="292">
        <f t="shared" si="52"/>
        <v>94.230304224712853</v>
      </c>
      <c r="AK28" s="295"/>
      <c r="AL28" s="296"/>
      <c r="AM28" s="296"/>
      <c r="AN28" s="296"/>
      <c r="AP28" s="138"/>
      <c r="AQ28" s="139">
        <v>14</v>
      </c>
      <c r="AR28" s="292">
        <f>SUM($AH28:AH28)</f>
        <v>10.892664822049774</v>
      </c>
      <c r="AS28" s="292">
        <f>SUM($AH28:AI28)</f>
        <v>15.930514822049776</v>
      </c>
      <c r="AT28" s="292">
        <f>SUM($AH28:AJ28)</f>
        <v>110.16081904676263</v>
      </c>
      <c r="AU28" s="295"/>
      <c r="AV28" s="296"/>
      <c r="AW28" s="296"/>
      <c r="AX28" s="296"/>
      <c r="AZ28" s="138"/>
      <c r="BA28" s="139">
        <v>14</v>
      </c>
      <c r="BB28" s="292">
        <f>SUM($D28:D28)</f>
        <v>10.998500000000002</v>
      </c>
      <c r="BC28" s="292">
        <f>SUM($D28:E28)</f>
        <v>12.953700000000001</v>
      </c>
      <c r="BD28" s="292">
        <f>SUM($D28:F28)</f>
        <v>44.682100000000005</v>
      </c>
      <c r="BE28" s="295"/>
      <c r="BF28" s="296"/>
      <c r="BG28" s="296"/>
      <c r="BH28" s="296"/>
    </row>
    <row r="29" spans="2:64">
      <c r="B29" s="138"/>
      <c r="C29" s="139">
        <v>15</v>
      </c>
      <c r="D29" s="292">
        <f>'Advanced options'!E104</f>
        <v>18.763399999999997</v>
      </c>
      <c r="E29" s="292">
        <f>'Advanced options'!F104</f>
        <v>15.1374</v>
      </c>
      <c r="F29" s="292">
        <f>'Advanced options'!G104</f>
        <v>45.32309999999999</v>
      </c>
      <c r="G29" s="292">
        <f>'Advanced options'!H104</f>
        <v>151.70670000000001</v>
      </c>
      <c r="H29" s="295"/>
      <c r="I29" s="296"/>
      <c r="J29" s="296"/>
      <c r="L29" s="138"/>
      <c r="M29" s="139">
        <v>15</v>
      </c>
      <c r="N29" s="292">
        <f>'Advanced options'!O104</f>
        <v>3.5647110864768656</v>
      </c>
      <c r="O29" s="292">
        <f>'Advanced options'!P104</f>
        <v>3.069179647759853</v>
      </c>
      <c r="P29" s="292">
        <f>'Advanced options'!Q104</f>
        <v>3.5396872676405624</v>
      </c>
      <c r="Q29" s="292">
        <f>'Advanced options'!R104</f>
        <v>2.0039444533431934</v>
      </c>
      <c r="R29" s="295"/>
      <c r="S29" s="296"/>
      <c r="T29" s="296"/>
      <c r="V29" s="138"/>
      <c r="W29" s="139">
        <v>15</v>
      </c>
      <c r="X29" s="292">
        <f t="shared" ref="X29" si="53">N29/D39</f>
        <v>0.89117777161921641</v>
      </c>
      <c r="Y29" s="292">
        <f t="shared" ref="Y29:Y32" si="54">O29/E39</f>
        <v>1.0230598825866177</v>
      </c>
      <c r="Z29" s="292">
        <f t="shared" ref="Z29:AA29" si="55">P29/F39</f>
        <v>1.7698436338202812</v>
      </c>
      <c r="AA29" s="292">
        <f t="shared" si="55"/>
        <v>2.0039444533431934</v>
      </c>
      <c r="AB29" s="295"/>
      <c r="AC29" s="296"/>
      <c r="AD29" s="296"/>
      <c r="AF29" s="138"/>
      <c r="AG29" s="139">
        <v>15</v>
      </c>
      <c r="AH29" s="292">
        <f t="shared" si="51"/>
        <v>16.721525000000003</v>
      </c>
      <c r="AI29" s="292">
        <f t="shared" ref="AI29:AI32" si="56">Y29*E29</f>
        <v>15.486466666666667</v>
      </c>
      <c r="AJ29" s="292">
        <f t="shared" ref="AJ29:AK29" si="57">Z29*F29</f>
        <v>80.214799999999968</v>
      </c>
      <c r="AK29" s="292">
        <f t="shared" si="57"/>
        <v>304.01179999999988</v>
      </c>
      <c r="AL29" s="295"/>
      <c r="AM29" s="296"/>
      <c r="AN29" s="296"/>
      <c r="AP29" s="138"/>
      <c r="AQ29" s="139">
        <v>15</v>
      </c>
      <c r="AR29" s="292">
        <f>SUM($AH29:AH29)</f>
        <v>16.721525000000003</v>
      </c>
      <c r="AS29" s="292">
        <f>SUM($AH29:AI29)</f>
        <v>32.207991666666672</v>
      </c>
      <c r="AT29" s="292">
        <f>SUM($AH29:AJ29)</f>
        <v>112.42279166666664</v>
      </c>
      <c r="AU29" s="292">
        <f>SUM($AH29:AK29)</f>
        <v>416.43459166666651</v>
      </c>
      <c r="AV29" s="295"/>
      <c r="AW29" s="296"/>
      <c r="AX29" s="296"/>
      <c r="AZ29" s="138"/>
      <c r="BA29" s="139">
        <v>15</v>
      </c>
      <c r="BB29" s="292">
        <f>SUM($D29:D29)</f>
        <v>18.763399999999997</v>
      </c>
      <c r="BC29" s="292">
        <f>SUM($D29:E29)</f>
        <v>33.900799999999997</v>
      </c>
      <c r="BD29" s="292">
        <f>SUM($D29:F29)</f>
        <v>79.223899999999986</v>
      </c>
      <c r="BE29" s="292">
        <f>SUM($D29:G29)</f>
        <v>230.9306</v>
      </c>
      <c r="BF29" s="295"/>
      <c r="BG29" s="296"/>
      <c r="BH29" s="296"/>
    </row>
    <row r="30" spans="2:64">
      <c r="B30" s="138"/>
      <c r="C30" s="139">
        <v>16</v>
      </c>
      <c r="D30" s="292">
        <f>'Advanced options'!E105</f>
        <v>21.708799999999993</v>
      </c>
      <c r="E30" s="292">
        <f>'Advanced options'!F105</f>
        <v>19.217599999999997</v>
      </c>
      <c r="F30" s="292">
        <f>'Advanced options'!G105</f>
        <v>66.337900000000033</v>
      </c>
      <c r="G30" s="292">
        <f>'Advanced options'!H105</f>
        <v>151.05799999999988</v>
      </c>
      <c r="H30" s="292">
        <f>'Advanced options'!I105</f>
        <v>276.13349999999986</v>
      </c>
      <c r="I30" s="295"/>
      <c r="J30" s="296"/>
      <c r="L30" s="138"/>
      <c r="M30" s="139">
        <v>16</v>
      </c>
      <c r="N30" s="292">
        <f>'Advanced options'!O105</f>
        <v>2.34765625</v>
      </c>
      <c r="O30" s="292">
        <f>'Advanced options'!P105</f>
        <v>2.8138685371742569</v>
      </c>
      <c r="P30" s="292">
        <f>'Advanced options'!Q105</f>
        <v>3.5236000000000001</v>
      </c>
      <c r="Q30" s="292">
        <f>'Advanced options'!R105</f>
        <v>3.0713621749999844</v>
      </c>
      <c r="R30" s="292">
        <f>'Advanced options'!S105</f>
        <v>2.1142237359827782</v>
      </c>
      <c r="S30" s="295"/>
      <c r="T30" s="296"/>
      <c r="V30" s="138"/>
      <c r="W30" s="139">
        <v>16</v>
      </c>
      <c r="X30" s="292">
        <f t="shared" ref="X30" si="58">N30/D40</f>
        <v>0.46953125000000001</v>
      </c>
      <c r="Y30" s="292">
        <f t="shared" si="54"/>
        <v>0.70346713429356422</v>
      </c>
      <c r="Z30" s="292">
        <f t="shared" ref="Z30:Z32" si="59">P30/F40</f>
        <v>1.1745333333333334</v>
      </c>
      <c r="AA30" s="292">
        <f t="shared" ref="AA30:AB30" si="60">Q30/G40</f>
        <v>1.5356810874999922</v>
      </c>
      <c r="AB30" s="292">
        <f t="shared" si="60"/>
        <v>2.1142237359827782</v>
      </c>
      <c r="AC30" s="295"/>
      <c r="AD30" s="296"/>
      <c r="AF30" s="138"/>
      <c r="AG30" s="139">
        <v>16</v>
      </c>
      <c r="AH30" s="292">
        <f t="shared" si="51"/>
        <v>10.192959999999998</v>
      </c>
      <c r="AI30" s="292">
        <f t="shared" si="56"/>
        <v>13.518949999999998</v>
      </c>
      <c r="AJ30" s="292">
        <f t="shared" ref="AJ30:AJ32" si="61">Z30*F30</f>
        <v>77.916074813333381</v>
      </c>
      <c r="AK30" s="292">
        <f t="shared" ref="AK30:AL30" si="62">AA30*G30</f>
        <v>231.97691371557363</v>
      </c>
      <c r="AL30" s="292">
        <f t="shared" si="62"/>
        <v>583.80800000000022</v>
      </c>
      <c r="AM30" s="295"/>
      <c r="AN30" s="296"/>
      <c r="AP30" s="138"/>
      <c r="AQ30" s="139">
        <v>16</v>
      </c>
      <c r="AR30" s="292">
        <f>SUM($AH30:AH30)</f>
        <v>10.192959999999998</v>
      </c>
      <c r="AS30" s="292">
        <f>SUM($AH30:AI30)</f>
        <v>23.711909999999996</v>
      </c>
      <c r="AT30" s="292">
        <f>SUM($AH30:AJ30)</f>
        <v>101.62798481333337</v>
      </c>
      <c r="AU30" s="292">
        <f>SUM($AH30:AK30)</f>
        <v>333.60489852890703</v>
      </c>
      <c r="AV30" s="292">
        <f>SUM($AH30:AL30)</f>
        <v>917.41289852890725</v>
      </c>
      <c r="AW30" s="295"/>
      <c r="AX30" s="296"/>
      <c r="AZ30" s="138"/>
      <c r="BA30" s="139">
        <v>16</v>
      </c>
      <c r="BB30" s="292">
        <f>SUM($D30:D30)</f>
        <v>21.708799999999993</v>
      </c>
      <c r="BC30" s="292">
        <f>SUM($D30:E30)</f>
        <v>40.926399999999987</v>
      </c>
      <c r="BD30" s="292">
        <f>SUM($D30:F30)</f>
        <v>107.26430000000002</v>
      </c>
      <c r="BE30" s="292">
        <f>SUM($D30:G30)</f>
        <v>258.32229999999993</v>
      </c>
      <c r="BF30" s="292">
        <f>SUM($D30:H30)</f>
        <v>534.45579999999973</v>
      </c>
      <c r="BG30" s="295"/>
      <c r="BH30" s="296"/>
    </row>
    <row r="31" spans="2:64">
      <c r="B31" s="138"/>
      <c r="C31" s="139">
        <v>17</v>
      </c>
      <c r="D31" s="292">
        <f>'Advanced options'!E106</f>
        <v>10.782500000000002</v>
      </c>
      <c r="E31" s="292">
        <f>'Advanced options'!F106</f>
        <v>15.773300000000003</v>
      </c>
      <c r="F31" s="292">
        <f>'Advanced options'!G106</f>
        <v>50.103700000000003</v>
      </c>
      <c r="G31" s="292">
        <f>'Advanced options'!H106</f>
        <v>109.56989999999998</v>
      </c>
      <c r="H31" s="292">
        <f>'Advanced options'!I106</f>
        <v>200.90760000000006</v>
      </c>
      <c r="I31" s="292">
        <f>'Advanced options'!J106</f>
        <v>307.10669999999999</v>
      </c>
      <c r="J31" s="295"/>
      <c r="L31" s="138"/>
      <c r="M31" s="139">
        <v>17</v>
      </c>
      <c r="N31" s="292">
        <f>'Advanced options'!O106</f>
        <v>2.9449663807094826</v>
      </c>
      <c r="O31" s="292">
        <f>'Advanced options'!P106</f>
        <v>4.4477629918913602</v>
      </c>
      <c r="P31" s="292">
        <f>'Advanced options'!Q106</f>
        <v>4.2619906314304137</v>
      </c>
      <c r="Q31" s="292">
        <f>'Advanced options'!R106</f>
        <v>3.7551389569580693</v>
      </c>
      <c r="R31" s="292">
        <f>'Advanced options'!S106</f>
        <v>2.9302245108999876</v>
      </c>
      <c r="S31" s="292">
        <f>'Advanced options'!T106</f>
        <v>1.7268651182266337</v>
      </c>
      <c r="T31" s="295"/>
      <c r="V31" s="138"/>
      <c r="W31" s="139">
        <v>17</v>
      </c>
      <c r="X31" s="292">
        <f t="shared" ref="X31" si="63">N31/D41</f>
        <v>0.4908277301182471</v>
      </c>
      <c r="Y31" s="292">
        <f t="shared" si="54"/>
        <v>0.88955259837827205</v>
      </c>
      <c r="Z31" s="292">
        <f t="shared" si="59"/>
        <v>1.0654976578576034</v>
      </c>
      <c r="AA31" s="292">
        <f t="shared" ref="AA31:AA32" si="64">Q31/G41</f>
        <v>1.2517129856526898</v>
      </c>
      <c r="AB31" s="292">
        <f t="shared" ref="AB31:AC31" si="65">R31/H41</f>
        <v>1.4651122554499938</v>
      </c>
      <c r="AC31" s="292">
        <f t="shared" si="65"/>
        <v>1.7268651182266337</v>
      </c>
      <c r="AD31" s="295"/>
      <c r="AF31" s="138"/>
      <c r="AG31" s="139">
        <v>17</v>
      </c>
      <c r="AH31" s="292">
        <f t="shared" si="51"/>
        <v>5.2923500000000008</v>
      </c>
      <c r="AI31" s="292">
        <f t="shared" si="56"/>
        <v>14.031180000000001</v>
      </c>
      <c r="AJ31" s="292">
        <f t="shared" si="61"/>
        <v>53.38537500000001</v>
      </c>
      <c r="AK31" s="292">
        <f t="shared" ref="AK31:AK32" si="66">AA31*G31</f>
        <v>137.15006666666662</v>
      </c>
      <c r="AL31" s="292">
        <f t="shared" ref="AL31:AM31" si="67">AB31*H31</f>
        <v>294.35218697304526</v>
      </c>
      <c r="AM31" s="292">
        <f t="shared" si="67"/>
        <v>530.33184780369129</v>
      </c>
      <c r="AN31" s="295"/>
      <c r="AP31" s="138"/>
      <c r="AQ31" s="139">
        <v>17</v>
      </c>
      <c r="AR31" s="292">
        <f>SUM($AH31:AH31)</f>
        <v>5.2923500000000008</v>
      </c>
      <c r="AS31" s="292">
        <f>SUM($AH31:AI31)</f>
        <v>19.323530000000002</v>
      </c>
      <c r="AT31" s="292">
        <f>SUM($AH31:AJ31)</f>
        <v>72.708905000000016</v>
      </c>
      <c r="AU31" s="292">
        <f>SUM($AH31:AK31)</f>
        <v>209.85897166666663</v>
      </c>
      <c r="AV31" s="292">
        <f>SUM($AH31:AL31)</f>
        <v>504.21115863971193</v>
      </c>
      <c r="AW31" s="292">
        <f>SUM($AH31:AM31)</f>
        <v>1034.5430064434031</v>
      </c>
      <c r="AX31" s="295"/>
      <c r="AZ31" s="138"/>
      <c r="BA31" s="139">
        <v>17</v>
      </c>
      <c r="BB31" s="292">
        <f>SUM($D31:D31)</f>
        <v>10.782500000000002</v>
      </c>
      <c r="BC31" s="292">
        <f>SUM($D31:E31)</f>
        <v>26.555800000000005</v>
      </c>
      <c r="BD31" s="292">
        <f>SUM($D31:F31)</f>
        <v>76.659500000000008</v>
      </c>
      <c r="BE31" s="292">
        <f>SUM($D31:G31)</f>
        <v>186.2294</v>
      </c>
      <c r="BF31" s="292">
        <f>SUM($D31:H31)</f>
        <v>387.13700000000006</v>
      </c>
      <c r="BG31" s="292">
        <f>SUM($D31:I31)</f>
        <v>694.24369999999999</v>
      </c>
      <c r="BH31" s="295"/>
    </row>
    <row r="32" spans="2:64">
      <c r="B32" s="138"/>
      <c r="C32" s="151">
        <v>18</v>
      </c>
      <c r="D32" s="292">
        <f>'Advanced options'!E107</f>
        <v>11.081899999999999</v>
      </c>
      <c r="E32" s="292">
        <f>'Advanced options'!F107</f>
        <v>6.4066000000000001</v>
      </c>
      <c r="F32" s="292">
        <f>'Advanced options'!G107</f>
        <v>17.641100000000002</v>
      </c>
      <c r="G32" s="292">
        <f>'Advanced options'!H107</f>
        <v>60.3048</v>
      </c>
      <c r="H32" s="292">
        <f>'Advanced options'!I107</f>
        <v>131.07979999999995</v>
      </c>
      <c r="I32" s="292">
        <f>'Advanced options'!J107</f>
        <v>120.68120000000003</v>
      </c>
      <c r="J32" s="292">
        <f>'Advanced options'!K107</f>
        <v>177.89680000000001</v>
      </c>
      <c r="L32" s="138"/>
      <c r="M32" s="151">
        <v>18</v>
      </c>
      <c r="N32" s="292">
        <f>'Advanced options'!O107</f>
        <v>4.9029679026159769</v>
      </c>
      <c r="O32" s="292">
        <f>'Advanced options'!P107</f>
        <v>4.7421877438891142</v>
      </c>
      <c r="P32" s="292">
        <f>'Advanced options'!Q107</f>
        <v>4.1707603267369953</v>
      </c>
      <c r="Q32" s="292">
        <f>'Advanced options'!R107</f>
        <v>4.357301574667356</v>
      </c>
      <c r="R32" s="292">
        <f>'Advanced options'!S107</f>
        <v>2.8728084927959627</v>
      </c>
      <c r="S32" s="292">
        <f>'Advanced options'!T107</f>
        <v>2.66151977275665</v>
      </c>
      <c r="T32" s="292">
        <f>'Advanced options'!U107</f>
        <v>1.4403907209123499</v>
      </c>
      <c r="V32" s="138"/>
      <c r="W32" s="151">
        <v>18</v>
      </c>
      <c r="X32" s="292">
        <f t="shared" ref="X32" si="68">N32/D42</f>
        <v>0.70042398608799672</v>
      </c>
      <c r="Y32" s="292">
        <f t="shared" si="54"/>
        <v>0.79036462398151908</v>
      </c>
      <c r="Z32" s="292">
        <f t="shared" si="59"/>
        <v>0.83415206534739905</v>
      </c>
      <c r="AA32" s="292">
        <f t="shared" si="64"/>
        <v>1.089325393666839</v>
      </c>
      <c r="AB32" s="292">
        <f t="shared" ref="AB32" si="69">R32/H42</f>
        <v>0.95760283093198761</v>
      </c>
      <c r="AC32" s="292">
        <f t="shared" ref="AC32:AD32" si="70">S32/I42</f>
        <v>1.330759886378325</v>
      </c>
      <c r="AD32" s="292">
        <f t="shared" si="70"/>
        <v>1.4403907209123499</v>
      </c>
      <c r="AF32" s="138"/>
      <c r="AG32" s="151">
        <v>18</v>
      </c>
      <c r="AH32" s="292">
        <f t="shared" si="51"/>
        <v>7.7620285714285702</v>
      </c>
      <c r="AI32" s="292">
        <f t="shared" si="56"/>
        <v>5.0635500000000002</v>
      </c>
      <c r="AJ32" s="292">
        <f t="shared" si="61"/>
        <v>14.715360000000002</v>
      </c>
      <c r="AK32" s="292">
        <f t="shared" si="66"/>
        <v>65.691549999999992</v>
      </c>
      <c r="AL32" s="292">
        <f t="shared" ref="AL32" si="71">AB32*H32</f>
        <v>125.5223875579987</v>
      </c>
      <c r="AM32" s="292">
        <f t="shared" ref="AM32:AN32" si="72">AC32*I32</f>
        <v>160.59769999999995</v>
      </c>
      <c r="AN32" s="292">
        <f t="shared" si="72"/>
        <v>256.24090000000012</v>
      </c>
      <c r="AP32" s="138"/>
      <c r="AQ32" s="151">
        <v>18</v>
      </c>
      <c r="AR32" s="292">
        <f>SUM($AH32:AH32)</f>
        <v>7.7620285714285702</v>
      </c>
      <c r="AS32" s="292">
        <f>SUM($AH32:AI32)</f>
        <v>12.82557857142857</v>
      </c>
      <c r="AT32" s="292">
        <f>SUM($AH32:AJ32)</f>
        <v>27.540938571428573</v>
      </c>
      <c r="AU32" s="292">
        <f>SUM($AH32:AK32)</f>
        <v>93.232488571428561</v>
      </c>
      <c r="AV32" s="292">
        <f>SUM($AH32:AL32)</f>
        <v>218.75487612942726</v>
      </c>
      <c r="AW32" s="292">
        <f>SUM($AH32:AM32)</f>
        <v>379.35257612942723</v>
      </c>
      <c r="AX32" s="292">
        <f>SUM($AH32:AN32)</f>
        <v>635.59347612942736</v>
      </c>
      <c r="AZ32" s="138"/>
      <c r="BA32" s="151">
        <v>18</v>
      </c>
      <c r="BB32" s="292">
        <f>SUM($D32:D32)</f>
        <v>11.081899999999999</v>
      </c>
      <c r="BC32" s="292">
        <f>SUM($D32:E32)</f>
        <v>17.488499999999998</v>
      </c>
      <c r="BD32" s="292">
        <f>SUM($D32:F32)</f>
        <v>35.129599999999996</v>
      </c>
      <c r="BE32" s="292">
        <f>SUM($D32:G32)</f>
        <v>95.434399999999997</v>
      </c>
      <c r="BF32" s="292">
        <f>SUM($D32:H32)</f>
        <v>226.51419999999996</v>
      </c>
      <c r="BG32" s="292">
        <f>SUM($D32:I32)</f>
        <v>347.19540000000001</v>
      </c>
      <c r="BH32" s="292">
        <f>SUM($D32:J32)</f>
        <v>525.09220000000005</v>
      </c>
    </row>
    <row r="33" spans="3:60">
      <c r="AP33" s="298"/>
      <c r="AQ33" s="299" t="s">
        <v>104</v>
      </c>
      <c r="AR33" s="301">
        <f>SUM(AR27:AR32)</f>
        <v>50.861528393478345</v>
      </c>
      <c r="AS33" s="301">
        <f t="shared" ref="AS33:AX33" si="73">SUM(AS27:AS32)</f>
        <v>103.999525060145</v>
      </c>
      <c r="AT33" s="301">
        <f t="shared" si="73"/>
        <v>424.46143909819119</v>
      </c>
      <c r="AU33" s="301">
        <f t="shared" si="73"/>
        <v>1053.1309504336687</v>
      </c>
      <c r="AV33" s="301">
        <f t="shared" si="73"/>
        <v>1640.3789332980464</v>
      </c>
      <c r="AW33" s="301">
        <f t="shared" si="73"/>
        <v>1413.8955825728303</v>
      </c>
      <c r="AX33" s="301">
        <f t="shared" si="73"/>
        <v>635.59347612942736</v>
      </c>
      <c r="AZ33" s="298"/>
      <c r="BA33" s="299" t="s">
        <v>104</v>
      </c>
      <c r="BB33" s="301">
        <f>SUM(BB27:BB32)</f>
        <v>73.335099999999997</v>
      </c>
      <c r="BC33" s="301">
        <f t="shared" ref="BC33:BH33" si="74">SUM(BC27:BC32)</f>
        <v>131.8252</v>
      </c>
      <c r="BD33" s="301">
        <f t="shared" si="74"/>
        <v>342.95939999999996</v>
      </c>
      <c r="BE33" s="301">
        <f t="shared" si="74"/>
        <v>770.91669999999988</v>
      </c>
      <c r="BF33" s="301">
        <f t="shared" si="74"/>
        <v>1148.1069999999997</v>
      </c>
      <c r="BG33" s="301">
        <f t="shared" si="74"/>
        <v>1041.4391000000001</v>
      </c>
      <c r="BH33" s="301">
        <f t="shared" si="74"/>
        <v>525.09220000000005</v>
      </c>
    </row>
    <row r="35" spans="3:60">
      <c r="C35" s="170" t="s">
        <v>268</v>
      </c>
    </row>
    <row r="36" spans="3:60">
      <c r="C36" s="139"/>
      <c r="D36" s="140">
        <v>11</v>
      </c>
      <c r="E36" s="140">
        <v>12</v>
      </c>
      <c r="F36" s="140">
        <v>13</v>
      </c>
      <c r="G36" s="140">
        <v>14</v>
      </c>
      <c r="H36" s="140">
        <v>15</v>
      </c>
      <c r="I36" s="140">
        <v>16</v>
      </c>
      <c r="J36" s="140">
        <v>17</v>
      </c>
    </row>
    <row r="37" spans="3:60">
      <c r="C37" s="139">
        <v>13</v>
      </c>
      <c r="D37" s="292">
        <v>2</v>
      </c>
      <c r="E37" s="292">
        <v>1</v>
      </c>
      <c r="F37" s="293"/>
      <c r="G37" s="293"/>
      <c r="H37" s="293"/>
      <c r="I37" s="293"/>
      <c r="J37" s="293"/>
    </row>
    <row r="38" spans="3:60">
      <c r="C38" s="139">
        <v>14</v>
      </c>
      <c r="D38" s="292">
        <v>3</v>
      </c>
      <c r="E38" s="292">
        <v>2</v>
      </c>
      <c r="F38" s="292">
        <v>1</v>
      </c>
      <c r="G38" s="295"/>
      <c r="H38" s="296"/>
      <c r="I38" s="296"/>
      <c r="J38" s="296"/>
    </row>
    <row r="39" spans="3:60">
      <c r="C39" s="139">
        <v>15</v>
      </c>
      <c r="D39" s="292">
        <v>4</v>
      </c>
      <c r="E39" s="292">
        <v>3</v>
      </c>
      <c r="F39" s="292">
        <v>2</v>
      </c>
      <c r="G39" s="292">
        <v>1</v>
      </c>
      <c r="H39" s="295"/>
      <c r="I39" s="296"/>
      <c r="J39" s="296"/>
    </row>
    <row r="40" spans="3:60">
      <c r="C40" s="139">
        <v>16</v>
      </c>
      <c r="D40" s="292">
        <v>5</v>
      </c>
      <c r="E40" s="292">
        <v>4</v>
      </c>
      <c r="F40" s="292">
        <v>3</v>
      </c>
      <c r="G40" s="292">
        <v>2</v>
      </c>
      <c r="H40" s="292">
        <v>1</v>
      </c>
      <c r="I40" s="295"/>
      <c r="J40" s="296"/>
    </row>
    <row r="41" spans="3:60">
      <c r="C41" s="139">
        <v>17</v>
      </c>
      <c r="D41" s="292">
        <v>6</v>
      </c>
      <c r="E41" s="292">
        <v>5</v>
      </c>
      <c r="F41" s="292">
        <v>4</v>
      </c>
      <c r="G41" s="292">
        <v>3</v>
      </c>
      <c r="H41" s="292">
        <v>2</v>
      </c>
      <c r="I41" s="292">
        <v>1</v>
      </c>
      <c r="J41" s="295"/>
    </row>
    <row r="42" spans="3:60">
      <c r="C42" s="151">
        <v>18</v>
      </c>
      <c r="D42" s="292">
        <v>7</v>
      </c>
      <c r="E42" s="292">
        <v>6</v>
      </c>
      <c r="F42" s="292">
        <v>5</v>
      </c>
      <c r="G42" s="292">
        <v>4</v>
      </c>
      <c r="H42" s="292">
        <v>3</v>
      </c>
      <c r="I42" s="292">
        <v>2</v>
      </c>
      <c r="J42" s="292">
        <v>1</v>
      </c>
    </row>
  </sheetData>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C3:S52"/>
  <sheetViews>
    <sheetView zoomScale="90" zoomScaleNormal="90" workbookViewId="0">
      <selection sqref="A1:A1048576"/>
    </sheetView>
  </sheetViews>
  <sheetFormatPr defaultColWidth="9.109375" defaultRowHeight="14.4"/>
  <cols>
    <col min="1" max="3" width="9.109375" style="1"/>
    <col min="4" max="5" width="9.5546875" style="1" customWidth="1"/>
    <col min="6" max="6" width="34" style="1" customWidth="1"/>
    <col min="7" max="8" width="9.5546875" style="1" customWidth="1"/>
    <col min="9" max="16384" width="9.109375" style="1"/>
  </cols>
  <sheetData>
    <row r="3" spans="3:19" ht="24.6">
      <c r="C3" s="12" t="s">
        <v>8</v>
      </c>
    </row>
    <row r="16" spans="3:19">
      <c r="C16" s="14"/>
      <c r="D16" s="14"/>
      <c r="E16" s="14"/>
      <c r="F16" s="14"/>
      <c r="G16" s="14"/>
      <c r="H16" s="14"/>
      <c r="I16" s="14"/>
      <c r="J16" s="3"/>
      <c r="K16" s="3"/>
      <c r="L16" s="3"/>
      <c r="M16" s="3"/>
      <c r="N16" s="3"/>
      <c r="O16" s="3"/>
      <c r="P16" s="3"/>
      <c r="Q16" s="3"/>
      <c r="R16" s="3"/>
      <c r="S16" s="3"/>
    </row>
    <row r="17" spans="3:19">
      <c r="C17" s="3"/>
      <c r="D17" s="3"/>
      <c r="E17" s="3"/>
      <c r="F17" s="3"/>
      <c r="G17" s="3"/>
      <c r="H17" s="3"/>
      <c r="I17" s="3"/>
      <c r="J17" s="3"/>
      <c r="K17" s="3"/>
      <c r="L17" s="3"/>
      <c r="M17" s="3"/>
      <c r="N17" s="3"/>
      <c r="O17" s="3"/>
      <c r="P17" s="3"/>
      <c r="Q17" s="3"/>
      <c r="R17" s="3"/>
      <c r="S17" s="3"/>
    </row>
    <row r="18" spans="3:19" ht="17.399999999999999">
      <c r="C18" s="3"/>
      <c r="D18" s="19"/>
      <c r="E18" s="15"/>
      <c r="F18" s="15"/>
      <c r="G18" s="16"/>
      <c r="H18" s="17"/>
      <c r="I18" s="16"/>
      <c r="J18" s="15"/>
      <c r="K18" s="15"/>
      <c r="L18" s="15"/>
      <c r="M18" s="15"/>
      <c r="N18" s="15"/>
      <c r="O18" s="15"/>
      <c r="P18" s="15"/>
      <c r="Q18" s="15"/>
      <c r="R18" s="15"/>
      <c r="S18" s="15"/>
    </row>
    <row r="19" spans="3:19">
      <c r="C19" s="3"/>
      <c r="D19" s="3"/>
      <c r="J19" s="3"/>
      <c r="K19" s="3"/>
      <c r="L19" s="3"/>
      <c r="M19" s="3"/>
      <c r="N19" s="3"/>
      <c r="O19" s="3"/>
      <c r="P19" s="3"/>
      <c r="Q19" s="3"/>
      <c r="R19" s="3"/>
      <c r="S19" s="3"/>
    </row>
    <row r="20" spans="3:19">
      <c r="C20" s="3"/>
      <c r="D20" s="3"/>
      <c r="F20" s="3"/>
      <c r="H20" s="5" t="s">
        <v>7</v>
      </c>
      <c r="J20" s="3"/>
      <c r="K20" s="3"/>
      <c r="L20" s="3"/>
      <c r="M20" s="3"/>
      <c r="N20" s="3"/>
      <c r="O20" s="3"/>
      <c r="P20" s="3"/>
      <c r="Q20" s="3"/>
      <c r="R20" s="3"/>
      <c r="S20" s="3"/>
    </row>
    <row r="21" spans="3:19">
      <c r="C21" s="3"/>
      <c r="D21" s="3"/>
      <c r="G21" s="5" t="s">
        <v>4</v>
      </c>
      <c r="H21" s="5" t="s">
        <v>5</v>
      </c>
      <c r="I21" s="5" t="s">
        <v>6</v>
      </c>
      <c r="N21" s="3"/>
      <c r="O21" s="3"/>
      <c r="P21" s="3"/>
      <c r="Q21" s="3"/>
      <c r="R21" s="3"/>
      <c r="S21" s="3"/>
    </row>
    <row r="22" spans="3:19">
      <c r="C22" s="3"/>
      <c r="D22" s="3"/>
      <c r="F22" s="11" t="s">
        <v>9</v>
      </c>
      <c r="G22" s="22"/>
      <c r="H22" s="22"/>
      <c r="I22" s="22"/>
      <c r="O22" s="3"/>
      <c r="P22" s="3"/>
      <c r="Q22" s="3"/>
      <c r="R22" s="3"/>
      <c r="S22" s="3"/>
    </row>
    <row r="23" spans="3:19" ht="15" customHeight="1">
      <c r="C23" s="3"/>
      <c r="D23" s="3"/>
      <c r="F23" s="23"/>
      <c r="G23" s="24"/>
      <c r="H23" s="25"/>
      <c r="I23" s="25"/>
      <c r="O23" s="3"/>
      <c r="P23" s="3"/>
      <c r="Q23" s="3"/>
      <c r="R23" s="3"/>
      <c r="S23" s="3"/>
    </row>
    <row r="24" spans="3:19">
      <c r="C24" s="3"/>
      <c r="D24" s="3"/>
      <c r="F24" s="10" t="s">
        <v>10</v>
      </c>
      <c r="G24" s="9"/>
      <c r="H24" s="9"/>
      <c r="I24" s="9"/>
      <c r="O24" s="3"/>
      <c r="P24" s="3"/>
      <c r="Q24" s="3"/>
      <c r="R24" s="3"/>
      <c r="S24" s="3"/>
    </row>
    <row r="25" spans="3:19" ht="15" customHeight="1">
      <c r="C25" s="3"/>
      <c r="D25" s="3"/>
      <c r="F25" s="8"/>
      <c r="O25" s="3"/>
      <c r="P25" s="3"/>
      <c r="Q25" s="3"/>
      <c r="R25" s="3"/>
      <c r="S25" s="3"/>
    </row>
    <row r="26" spans="3:19" ht="15" customHeight="1">
      <c r="C26" s="3"/>
      <c r="D26" s="3"/>
      <c r="F26" s="10" t="s">
        <v>11</v>
      </c>
      <c r="G26" s="9"/>
      <c r="H26" s="9"/>
      <c r="I26" s="9"/>
      <c r="O26" s="3"/>
      <c r="P26" s="3"/>
      <c r="Q26" s="3"/>
      <c r="R26" s="3"/>
      <c r="S26" s="3"/>
    </row>
    <row r="27" spans="3:19" ht="15" customHeight="1">
      <c r="C27" s="3"/>
      <c r="D27" s="3"/>
      <c r="O27" s="3"/>
      <c r="P27" s="3"/>
      <c r="Q27" s="3"/>
      <c r="R27" s="3"/>
      <c r="S27" s="3"/>
    </row>
    <row r="28" spans="3:19" ht="15" customHeight="1">
      <c r="C28" s="3"/>
      <c r="D28" s="3"/>
      <c r="O28" s="3"/>
      <c r="P28" s="3"/>
      <c r="Q28" s="3"/>
      <c r="R28" s="3"/>
      <c r="S28" s="3"/>
    </row>
    <row r="29" spans="3:19">
      <c r="C29" s="3"/>
      <c r="D29" s="3"/>
      <c r="O29" s="3"/>
      <c r="P29" s="3"/>
      <c r="Q29" s="3"/>
      <c r="R29" s="3"/>
      <c r="S29" s="3"/>
    </row>
    <row r="30" spans="3:19" ht="17.399999999999999">
      <c r="C30" s="3"/>
      <c r="D30" s="19"/>
      <c r="E30" s="15"/>
      <c r="F30" s="15"/>
      <c r="G30" s="15"/>
      <c r="H30" s="15"/>
      <c r="I30" s="15"/>
      <c r="J30" s="16"/>
      <c r="K30" s="16"/>
      <c r="L30" s="16"/>
      <c r="M30" s="16"/>
      <c r="N30" s="16"/>
      <c r="O30" s="15"/>
      <c r="P30" s="15"/>
      <c r="Q30" s="15"/>
      <c r="R30" s="15"/>
      <c r="S30" s="15"/>
    </row>
    <row r="31" spans="3:19">
      <c r="C31" s="3"/>
      <c r="D31" s="14"/>
      <c r="E31" s="14"/>
      <c r="F31" s="14"/>
      <c r="G31" s="14"/>
      <c r="H31" s="14"/>
      <c r="I31" s="14"/>
      <c r="J31" s="14"/>
      <c r="K31" s="14"/>
      <c r="L31" s="14"/>
      <c r="M31" s="14"/>
      <c r="N31" s="14"/>
      <c r="O31" s="14"/>
      <c r="P31" s="14"/>
      <c r="Q31" s="14"/>
      <c r="R31" s="14"/>
      <c r="S31" s="14"/>
    </row>
    <row r="32" spans="3:19">
      <c r="C32" s="3"/>
      <c r="D32" s="3"/>
      <c r="E32" s="3"/>
      <c r="F32" s="3"/>
      <c r="H32" s="5" t="s">
        <v>7</v>
      </c>
      <c r="J32" s="3"/>
      <c r="K32" s="3"/>
      <c r="L32" s="3"/>
      <c r="M32" s="3"/>
      <c r="N32" s="3"/>
      <c r="O32" s="3"/>
      <c r="P32" s="3"/>
      <c r="Q32" s="3"/>
      <c r="R32" s="3"/>
      <c r="S32" s="3"/>
    </row>
    <row r="33" spans="3:19">
      <c r="C33" s="3"/>
      <c r="D33" s="3"/>
      <c r="E33" s="743"/>
      <c r="G33" s="5" t="s">
        <v>4</v>
      </c>
      <c r="H33" s="5" t="s">
        <v>5</v>
      </c>
      <c r="I33" s="5" t="s">
        <v>6</v>
      </c>
      <c r="J33" s="3"/>
      <c r="K33" s="3"/>
      <c r="L33" s="3"/>
      <c r="M33" s="3"/>
      <c r="N33" s="3"/>
      <c r="O33" s="3"/>
      <c r="P33" s="3"/>
      <c r="Q33" s="3"/>
      <c r="R33" s="3"/>
      <c r="S33" s="3"/>
    </row>
    <row r="34" spans="3:19">
      <c r="C34" s="3"/>
      <c r="D34" s="3"/>
      <c r="E34" s="743"/>
      <c r="F34" s="11" t="s">
        <v>9</v>
      </c>
      <c r="G34" s="22"/>
      <c r="H34" s="22"/>
      <c r="I34" s="22"/>
      <c r="J34" s="3"/>
      <c r="K34" s="3"/>
      <c r="L34" s="3"/>
      <c r="M34" s="3"/>
      <c r="N34" s="3"/>
      <c r="O34" s="3"/>
      <c r="P34" s="3"/>
      <c r="Q34" s="3"/>
      <c r="R34" s="3"/>
      <c r="S34" s="3"/>
    </row>
    <row r="35" spans="3:19">
      <c r="C35" s="3"/>
      <c r="D35" s="3"/>
      <c r="E35" s="743"/>
      <c r="F35" s="23"/>
      <c r="G35" s="24"/>
      <c r="H35" s="25"/>
      <c r="I35" s="25"/>
      <c r="J35" s="3"/>
      <c r="K35" s="3"/>
      <c r="L35" s="3"/>
      <c r="M35" s="3"/>
      <c r="N35" s="3"/>
      <c r="O35" s="3"/>
      <c r="P35" s="3"/>
      <c r="Q35" s="3"/>
      <c r="R35" s="3"/>
      <c r="S35" s="3"/>
    </row>
    <row r="36" spans="3:19">
      <c r="C36" s="3"/>
      <c r="D36" s="3"/>
      <c r="F36" s="10" t="s">
        <v>10</v>
      </c>
      <c r="G36" s="9"/>
      <c r="H36" s="9"/>
      <c r="I36" s="9"/>
      <c r="J36" s="3"/>
      <c r="K36" s="3"/>
      <c r="L36" s="3"/>
      <c r="M36" s="3"/>
      <c r="N36" s="3"/>
      <c r="O36" s="3"/>
      <c r="P36" s="3"/>
      <c r="Q36" s="3"/>
      <c r="R36" s="3"/>
      <c r="S36" s="3"/>
    </row>
    <row r="37" spans="3:19">
      <c r="C37" s="3"/>
      <c r="D37" s="3"/>
      <c r="E37" s="21"/>
      <c r="F37" s="8"/>
      <c r="J37" s="3"/>
      <c r="K37" s="3"/>
      <c r="L37" s="3"/>
      <c r="M37" s="3"/>
      <c r="N37" s="3"/>
      <c r="O37" s="3"/>
      <c r="P37" s="3"/>
      <c r="Q37" s="3"/>
      <c r="R37" s="3"/>
      <c r="S37" s="3"/>
    </row>
    <row r="38" spans="3:19">
      <c r="C38" s="3"/>
      <c r="D38" s="3"/>
      <c r="E38" s="8"/>
      <c r="F38" s="10" t="s">
        <v>11</v>
      </c>
      <c r="G38" s="9"/>
      <c r="H38" s="9"/>
      <c r="I38" s="9"/>
      <c r="J38" s="3"/>
      <c r="K38" s="3"/>
      <c r="L38" s="3"/>
      <c r="M38" s="3"/>
      <c r="N38" s="3"/>
      <c r="O38" s="3"/>
      <c r="P38" s="3"/>
      <c r="Q38" s="3"/>
      <c r="R38" s="3"/>
      <c r="S38" s="3"/>
    </row>
    <row r="39" spans="3:19">
      <c r="C39" s="3"/>
      <c r="D39" s="3"/>
      <c r="E39" s="8"/>
      <c r="F39" s="3"/>
      <c r="G39" s="14"/>
      <c r="H39" s="18"/>
      <c r="I39" s="20"/>
      <c r="J39" s="3"/>
      <c r="K39" s="3"/>
      <c r="L39" s="3"/>
      <c r="M39" s="3"/>
      <c r="N39" s="3"/>
      <c r="O39" s="3"/>
      <c r="P39" s="3"/>
      <c r="Q39" s="3"/>
      <c r="R39" s="3"/>
      <c r="S39" s="3"/>
    </row>
    <row r="40" spans="3:19">
      <c r="C40" s="3"/>
      <c r="D40" s="3"/>
      <c r="E40" s="21"/>
      <c r="F40" s="14"/>
      <c r="G40" s="14"/>
      <c r="H40" s="18"/>
      <c r="I40" s="20"/>
      <c r="J40" s="3"/>
      <c r="K40" s="3"/>
      <c r="L40" s="3"/>
      <c r="M40" s="3"/>
      <c r="N40" s="3"/>
      <c r="O40" s="3"/>
      <c r="P40" s="3"/>
      <c r="Q40" s="3"/>
      <c r="R40" s="3"/>
      <c r="S40" s="3"/>
    </row>
    <row r="41" spans="3:19">
      <c r="C41" s="3"/>
      <c r="D41" s="3"/>
      <c r="E41" s="3"/>
      <c r="F41" s="3"/>
      <c r="G41" s="3"/>
      <c r="H41" s="3"/>
      <c r="I41" s="3"/>
      <c r="J41" s="3"/>
      <c r="K41" s="3"/>
      <c r="L41" s="3"/>
      <c r="M41" s="3"/>
      <c r="N41" s="3"/>
      <c r="O41" s="3"/>
      <c r="P41" s="3"/>
      <c r="Q41" s="3"/>
      <c r="R41" s="3"/>
      <c r="S41" s="3"/>
    </row>
    <row r="42" spans="3:19" ht="17.399999999999999">
      <c r="C42" s="3"/>
      <c r="D42" s="19"/>
      <c r="E42" s="15"/>
      <c r="F42" s="15"/>
      <c r="G42" s="15"/>
      <c r="H42" s="15"/>
      <c r="I42" s="15"/>
      <c r="J42" s="15"/>
      <c r="K42" s="15"/>
      <c r="L42" s="15"/>
      <c r="M42" s="15"/>
      <c r="N42" s="15"/>
      <c r="O42" s="15"/>
      <c r="P42" s="15"/>
      <c r="Q42" s="15"/>
      <c r="R42" s="15"/>
      <c r="S42" s="15"/>
    </row>
    <row r="43" spans="3:19">
      <c r="C43" s="3"/>
      <c r="D43" s="14"/>
      <c r="E43" s="14"/>
      <c r="F43" s="14"/>
      <c r="G43" s="14"/>
      <c r="H43" s="14"/>
      <c r="I43" s="14"/>
      <c r="J43" s="14"/>
      <c r="K43" s="14"/>
      <c r="L43" s="14"/>
      <c r="M43" s="14"/>
      <c r="N43" s="14"/>
      <c r="O43" s="14"/>
      <c r="P43" s="14"/>
      <c r="Q43" s="14"/>
      <c r="R43" s="14"/>
      <c r="S43" s="14"/>
    </row>
    <row r="44" spans="3:19">
      <c r="C44" s="3"/>
      <c r="D44" s="3"/>
      <c r="E44" s="3"/>
      <c r="F44" s="3"/>
      <c r="H44" s="5" t="s">
        <v>7</v>
      </c>
      <c r="J44" s="3"/>
      <c r="K44" s="3"/>
      <c r="L44" s="3"/>
      <c r="M44" s="3"/>
      <c r="N44" s="3"/>
      <c r="O44" s="3"/>
      <c r="P44" s="3"/>
      <c r="Q44" s="3"/>
      <c r="R44" s="3"/>
      <c r="S44" s="3"/>
    </row>
    <row r="45" spans="3:19">
      <c r="C45" s="3"/>
      <c r="D45" s="3"/>
      <c r="E45" s="743"/>
      <c r="G45" s="5" t="s">
        <v>4</v>
      </c>
      <c r="H45" s="5" t="s">
        <v>5</v>
      </c>
      <c r="I45" s="5" t="s">
        <v>6</v>
      </c>
      <c r="J45" s="3"/>
      <c r="K45" s="3"/>
      <c r="L45" s="3"/>
      <c r="M45" s="3"/>
      <c r="N45" s="3"/>
      <c r="O45" s="3"/>
      <c r="P45" s="3"/>
      <c r="Q45" s="3"/>
      <c r="R45" s="3"/>
      <c r="S45" s="3"/>
    </row>
    <row r="46" spans="3:19">
      <c r="C46" s="3"/>
      <c r="D46" s="3"/>
      <c r="E46" s="743"/>
      <c r="F46" s="11" t="s">
        <v>9</v>
      </c>
      <c r="G46" s="22"/>
      <c r="H46" s="22"/>
      <c r="I46" s="22"/>
      <c r="J46" s="3"/>
      <c r="K46" s="3"/>
      <c r="L46" s="3"/>
      <c r="M46" s="3"/>
      <c r="N46" s="3"/>
      <c r="O46" s="3"/>
      <c r="P46" s="3"/>
      <c r="Q46" s="3"/>
      <c r="R46" s="3"/>
      <c r="S46" s="3"/>
    </row>
    <row r="47" spans="3:19">
      <c r="C47" s="3"/>
      <c r="D47" s="3"/>
      <c r="E47" s="743"/>
      <c r="F47" s="23"/>
      <c r="G47" s="24"/>
      <c r="H47" s="25"/>
      <c r="I47" s="25"/>
      <c r="J47" s="3"/>
      <c r="K47" s="3"/>
      <c r="L47" s="3"/>
      <c r="M47" s="3"/>
      <c r="N47" s="3"/>
      <c r="O47" s="3"/>
      <c r="P47" s="3"/>
      <c r="Q47" s="3"/>
      <c r="R47" s="3"/>
      <c r="S47" s="3"/>
    </row>
    <row r="48" spans="3:19">
      <c r="C48" s="3"/>
      <c r="D48" s="3"/>
      <c r="F48" s="10" t="s">
        <v>10</v>
      </c>
      <c r="G48" s="9"/>
      <c r="H48" s="9"/>
      <c r="I48" s="9"/>
      <c r="J48" s="3"/>
      <c r="K48" s="3"/>
      <c r="L48" s="3"/>
      <c r="M48" s="3"/>
      <c r="N48" s="3"/>
      <c r="O48" s="3"/>
      <c r="P48" s="3"/>
      <c r="Q48" s="3"/>
      <c r="R48" s="3"/>
      <c r="S48" s="3"/>
    </row>
    <row r="49" spans="3:19">
      <c r="C49" s="3"/>
      <c r="D49" s="3"/>
      <c r="E49" s="21"/>
      <c r="F49" s="8"/>
      <c r="J49" s="3"/>
      <c r="K49" s="3"/>
      <c r="L49" s="3"/>
      <c r="M49" s="3"/>
      <c r="N49" s="3"/>
      <c r="O49" s="3"/>
      <c r="P49" s="3"/>
      <c r="Q49" s="3"/>
      <c r="R49" s="3"/>
      <c r="S49" s="3"/>
    </row>
    <row r="50" spans="3:19">
      <c r="C50" s="3"/>
      <c r="D50" s="3"/>
      <c r="E50" s="8"/>
      <c r="F50" s="10" t="s">
        <v>11</v>
      </c>
      <c r="G50" s="9"/>
      <c r="H50" s="9"/>
      <c r="I50" s="9"/>
      <c r="J50" s="3"/>
      <c r="K50" s="3"/>
      <c r="L50" s="3"/>
      <c r="M50" s="3"/>
      <c r="N50" s="3"/>
      <c r="O50" s="3"/>
      <c r="P50" s="3"/>
      <c r="Q50" s="3"/>
      <c r="R50" s="3"/>
      <c r="S50" s="3"/>
    </row>
    <row r="51" spans="3:19">
      <c r="C51" s="3"/>
      <c r="D51" s="3"/>
      <c r="E51" s="21"/>
      <c r="F51" s="14"/>
      <c r="G51" s="14"/>
      <c r="H51" s="18"/>
      <c r="I51" s="14"/>
      <c r="J51" s="3"/>
      <c r="K51" s="3"/>
      <c r="L51" s="3"/>
      <c r="M51" s="3"/>
      <c r="N51" s="3"/>
      <c r="O51" s="3"/>
      <c r="P51" s="3"/>
      <c r="Q51" s="3"/>
      <c r="R51" s="3"/>
      <c r="S51" s="3"/>
    </row>
    <row r="52" spans="3:19">
      <c r="C52" s="3"/>
      <c r="D52" s="3"/>
      <c r="E52" s="3"/>
      <c r="F52" s="3"/>
      <c r="G52" s="3"/>
      <c r="H52" s="3"/>
      <c r="I52" s="3"/>
      <c r="J52" s="3"/>
      <c r="K52" s="3"/>
      <c r="L52" s="3"/>
      <c r="M52" s="3"/>
      <c r="N52" s="3"/>
      <c r="O52" s="3"/>
      <c r="P52" s="3"/>
      <c r="Q52" s="3"/>
      <c r="R52" s="3"/>
      <c r="S52" s="3"/>
    </row>
  </sheetData>
  <mergeCells count="2">
    <mergeCell ref="E33:E35"/>
    <mergeCell ref="E45:E47"/>
  </mergeCells>
  <pageMargins left="0.7" right="0.7" top="0.75" bottom="0.75" header="0.3" footer="0.3"/>
  <pageSetup orientation="portrait" horizontalDpi="1200" verticalDpi="1200" r:id="rId1"/>
  <drawing r:id="rId2"/>
  <legacyDrawing r:id="rId3"/>
  <controls>
    <mc:AlternateContent xmlns:mc="http://schemas.openxmlformats.org/markup-compatibility/2006">
      <mc:Choice Requires="x14">
        <control shapeId="11271" r:id="rId4" name="CommandButton7">
          <controlPr defaultSize="0" autoLine="0" r:id="rId5">
            <anchor moveWithCells="1">
              <from>
                <xdr:col>6</xdr:col>
                <xdr:colOff>457200</xdr:colOff>
                <xdr:row>52</xdr:row>
                <xdr:rowOff>175260</xdr:rowOff>
              </from>
              <to>
                <xdr:col>11</xdr:col>
                <xdr:colOff>251460</xdr:colOff>
                <xdr:row>57</xdr:row>
                <xdr:rowOff>60960</xdr:rowOff>
              </to>
            </anchor>
          </controlPr>
        </control>
      </mc:Choice>
      <mc:Fallback>
        <control shapeId="11271" r:id="rId4" name="CommandButton7"/>
      </mc:Fallback>
    </mc:AlternateContent>
    <mc:AlternateContent xmlns:mc="http://schemas.openxmlformats.org/markup-compatibility/2006">
      <mc:Choice Requires="x14">
        <control shapeId="11270" r:id="rId6" name="CommandButton6">
          <controlPr defaultSize="0" autoLine="0" r:id="rId7">
            <anchor moveWithCells="1">
              <from>
                <xdr:col>14</xdr:col>
                <xdr:colOff>160020</xdr:colOff>
                <xdr:row>45</xdr:row>
                <xdr:rowOff>160020</xdr:rowOff>
              </from>
              <to>
                <xdr:col>17</xdr:col>
                <xdr:colOff>335280</xdr:colOff>
                <xdr:row>49</xdr:row>
                <xdr:rowOff>53340</xdr:rowOff>
              </to>
            </anchor>
          </controlPr>
        </control>
      </mc:Choice>
      <mc:Fallback>
        <control shapeId="11270" r:id="rId6" name="CommandButton6"/>
      </mc:Fallback>
    </mc:AlternateContent>
    <mc:AlternateContent xmlns:mc="http://schemas.openxmlformats.org/markup-compatibility/2006">
      <mc:Choice Requires="x14">
        <control shapeId="11269" r:id="rId8" name="CommandButton5">
          <controlPr defaultSize="0" autoLine="0" r:id="rId9">
            <anchor moveWithCells="1">
              <from>
                <xdr:col>14</xdr:col>
                <xdr:colOff>182880</xdr:colOff>
                <xdr:row>33</xdr:row>
                <xdr:rowOff>160020</xdr:rowOff>
              </from>
              <to>
                <xdr:col>17</xdr:col>
                <xdr:colOff>358140</xdr:colOff>
                <xdr:row>37</xdr:row>
                <xdr:rowOff>53340</xdr:rowOff>
              </to>
            </anchor>
          </controlPr>
        </control>
      </mc:Choice>
      <mc:Fallback>
        <control shapeId="11269" r:id="rId8" name="CommandButton5"/>
      </mc:Fallback>
    </mc:AlternateContent>
    <mc:AlternateContent xmlns:mc="http://schemas.openxmlformats.org/markup-compatibility/2006">
      <mc:Choice Requires="x14">
        <control shapeId="11268" r:id="rId10" name="CommandButton4">
          <controlPr defaultSize="0" autoLine="0" r:id="rId11">
            <anchor moveWithCells="1">
              <from>
                <xdr:col>14</xdr:col>
                <xdr:colOff>144780</xdr:colOff>
                <xdr:row>21</xdr:row>
                <xdr:rowOff>160020</xdr:rowOff>
              </from>
              <to>
                <xdr:col>17</xdr:col>
                <xdr:colOff>320040</xdr:colOff>
                <xdr:row>25</xdr:row>
                <xdr:rowOff>38100</xdr:rowOff>
              </to>
            </anchor>
          </controlPr>
        </control>
      </mc:Choice>
      <mc:Fallback>
        <control shapeId="11268" r:id="rId10" name="CommandButton4"/>
      </mc:Fallback>
    </mc:AlternateContent>
    <mc:AlternateContent xmlns:mc="http://schemas.openxmlformats.org/markup-compatibility/2006">
      <mc:Choice Requires="x14">
        <control shapeId="11267" r:id="rId12" name="CommandButton3">
          <controlPr defaultSize="0" autoLine="0" r:id="rId13">
            <anchor moveWithCells="1">
              <from>
                <xdr:col>10</xdr:col>
                <xdr:colOff>144780</xdr:colOff>
                <xdr:row>45</xdr:row>
                <xdr:rowOff>152400</xdr:rowOff>
              </from>
              <to>
                <xdr:col>13</xdr:col>
                <xdr:colOff>320040</xdr:colOff>
                <xdr:row>49</xdr:row>
                <xdr:rowOff>45720</xdr:rowOff>
              </to>
            </anchor>
          </controlPr>
        </control>
      </mc:Choice>
      <mc:Fallback>
        <control shapeId="11267" r:id="rId12" name="CommandButton3"/>
      </mc:Fallback>
    </mc:AlternateContent>
    <mc:AlternateContent xmlns:mc="http://schemas.openxmlformats.org/markup-compatibility/2006">
      <mc:Choice Requires="x14">
        <control shapeId="11266" r:id="rId14" name="CommandButton2">
          <controlPr defaultSize="0" autoLine="0" r:id="rId15">
            <anchor moveWithCells="1">
              <from>
                <xdr:col>10</xdr:col>
                <xdr:colOff>152400</xdr:colOff>
                <xdr:row>33</xdr:row>
                <xdr:rowOff>152400</xdr:rowOff>
              </from>
              <to>
                <xdr:col>13</xdr:col>
                <xdr:colOff>327660</xdr:colOff>
                <xdr:row>37</xdr:row>
                <xdr:rowOff>45720</xdr:rowOff>
              </to>
            </anchor>
          </controlPr>
        </control>
      </mc:Choice>
      <mc:Fallback>
        <control shapeId="11266" r:id="rId14" name="CommandButton2"/>
      </mc:Fallback>
    </mc:AlternateContent>
    <mc:AlternateContent xmlns:mc="http://schemas.openxmlformats.org/markup-compatibility/2006">
      <mc:Choice Requires="x14">
        <control shapeId="11265" r:id="rId16" name="CommandButton1">
          <controlPr defaultSize="0" autoLine="0" r:id="rId17">
            <anchor moveWithCells="1">
              <from>
                <xdr:col>10</xdr:col>
                <xdr:colOff>144780</xdr:colOff>
                <xdr:row>21</xdr:row>
                <xdr:rowOff>160020</xdr:rowOff>
              </from>
              <to>
                <xdr:col>13</xdr:col>
                <xdr:colOff>320040</xdr:colOff>
                <xdr:row>25</xdr:row>
                <xdr:rowOff>38100</xdr:rowOff>
              </to>
            </anchor>
          </controlPr>
        </control>
      </mc:Choice>
      <mc:Fallback>
        <control shapeId="11265" r:id="rId16" name="CommandButton1"/>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19</vt:i4>
      </vt:variant>
    </vt:vector>
  </HeadingPairs>
  <TitlesOfParts>
    <vt:vector size="19" baseType="lpstr">
      <vt:lpstr>Welcome</vt:lpstr>
      <vt:lpstr>About</vt:lpstr>
      <vt:lpstr>Table of contents</vt:lpstr>
      <vt:lpstr>Population sizes</vt:lpstr>
      <vt:lpstr>Sexual behavior</vt:lpstr>
      <vt:lpstr>Diagnoses</vt:lpstr>
      <vt:lpstr>Interventions</vt:lpstr>
      <vt:lpstr>Results</vt:lpstr>
      <vt:lpstr>Export</vt:lpstr>
      <vt:lpstr>Advanced options</vt:lpstr>
      <vt:lpstr>alternative pop</vt:lpstr>
      <vt:lpstr>Baseline Params</vt:lpstr>
      <vt:lpstr>Model 1 Params</vt:lpstr>
      <vt:lpstr>Model 2 Params</vt:lpstr>
      <vt:lpstr>Model 3 Params</vt:lpstr>
      <vt:lpstr>Model 4 Params</vt:lpstr>
      <vt:lpstr>Export Template</vt:lpstr>
      <vt:lpstr>ppy_calc</vt:lpstr>
      <vt:lpstr>x-epidemiology</vt:lpstr>
    </vt:vector>
  </TitlesOfParts>
  <Company>University of Washington</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EMILY D. POLLOCK</dc:creator>
  <cp:lastModifiedBy>Goodreau</cp:lastModifiedBy>
  <cp:lastPrinted>2019-01-05T00:35:24Z</cp:lastPrinted>
  <dcterms:created xsi:type="dcterms:W3CDTF">2017-08-10T18:10:49Z</dcterms:created>
  <dcterms:modified xsi:type="dcterms:W3CDTF">2019-01-10T23:04:07Z</dcterms:modified>
</cp:coreProperties>
</file>